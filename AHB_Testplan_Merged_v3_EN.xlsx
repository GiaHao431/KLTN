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" sheetId="1" state="visible" r:id="rId3"/>
    <sheet name="Coverage" sheetId="2" state="visible" r:id="rId4"/>
    <sheet name="Assertions" sheetId="3" state="visible" r:id="rId5"/>
    <sheet name="Phase2_Random (Future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<sst xmlns="http://schemas.openxmlformats.org/spreadsheetml/2006/main" count="846" uniqueCount="655">
  <si>
    <t xml:space="preserve">AHB 2.0 Multi-Master Interconnect — Verification Test Plan (Full Directed)</t>
  </si>
  <si>
    <t xml:space="preserve">2 Masters × 3 Slaves + 1 Default Slave  |  SystemVerilog directed testbench  |  RTL: bundle I3 + AHB_Slave ver4 (HLOCK&gt;SPLIT lock-fix: slave suppresses SPLIT/RETRY under HMASTLOCK, ST_TIME_PASS removed — 6-state FSM).  SPLIT/RETRY injected via test hooks force_split/force_retry (any address, any beat, mid-burst).  |  BFM ver2/ver3</t>
  </si>
  <si>
    <t xml:space="preserve">Category</t>
  </si>
  <si>
    <t xml:space="preserve">No</t>
  </si>
  <si>
    <t xml:space="preserve">Test Item</t>
  </si>
  <si>
    <t xml:space="preserve">Test Name</t>
  </si>
  <si>
    <t xml:space="preserve">Description</t>
  </si>
  <si>
    <t xml:space="preserve">Test Flow</t>
  </si>
  <si>
    <t xml:space="preserve">Pass Condition</t>
  </si>
  <si>
    <t xml:space="preserve">Priority</t>
  </si>
  <si>
    <t xml:space="preserve">Layer 1
Unit Test
(Slave)</t>
  </si>
  <si>
    <t xml:space="preserve">T1.1</t>
  </si>
  <si>
    <t xml:space="preserve">Reset Behavior</t>
  </si>
  <si>
    <t xml:space="preserve">TC_L1_RESET</t>
  </si>
  <si>
    <t xml:space="preserve">Verify the Slave's default output state immediately after asynchronous reset (HRESETn=0→1). Confirms the FSM powers up in ST_IDLE with benign, side-effect-free outputs.</t>
  </si>
  <si>
    <t xml:space="preserve">1. Assert HRESETn=0 for 5 clock cycles
2. Release HRESETn=1
3. Observe all outputs on the first rising clock edge after reset
4. Keep the BFM driving HTRANS=IDLE throughout</t>
  </si>
  <si>
    <t xml:space="preserve">(1) HREADYOUT=1 and HRESP=OKAY (2'b00)
(2) HSPLITx=16'h0000
(3) FSM ps_slave = ST_IDLE
(4) No write to the memory array</t>
  </si>
  <si>
    <t xml:space="preserve">High</t>
  </si>
  <si>
    <t xml:space="preserve">T1.2</t>
  </si>
  <si>
    <t xml:space="preserve">Single Write + Read Verify</t>
  </si>
  <si>
    <t xml:space="preserve">TC_L1_SINGLE_WR_RD</t>
  </si>
  <si>
    <t xml:space="preserve">Write one word (0xDEADBEEF) to HADDR=0x04 (word index 1), then immediately read it back. Exercises the IDLE→ACTIVE→WBURST→IDLE pipeline, the one-wait-state inserted by ST_ACTIVE, and basic data integrity.</t>
  </si>
  <si>
    <t xml:space="preserve">1. BFM drives Address Phase: HSELx=1, HADDR=0x04, HTRANS=NONSEQ, HWRITE=1, HBURST=SINGLE
2. Data Phase: HWDATA=0xDEADBEEF; wait for HREADYOUT=1; check HRESP
3. BFM drives NONSEQ READ, HADDR=0x04
4. Capture HRDATA on the HREADYOUT=1 edge; compare against 0xDEADBEEF</t>
  </si>
  <si>
    <t xml:space="preserve">(1) Write: HRESP=OKAY; HREADYOUT sequence 0 (ST_ACTIVE) → 1 (ST_WBURST)
(2) memory_slave[1] = 0xDEADBEEF after the write
(3) Read: HRESP=OKAY; HRDATA = 0xDEADBEEF</t>
  </si>
  <si>
    <t xml:space="preserve">T1.3</t>
  </si>
  <si>
    <t xml:space="preserve">Multi-Address Write/Read</t>
  </si>
  <si>
    <t xml:space="preserve">TC_L1_MULTI_ADDR</t>
  </si>
  <si>
    <t xml:space="preserve">Write/read at three address regions: low (0x0C, word 3), mid (0x200, word 128) and the high boundary (0x3FC, word 255 — the last word of the 256×32 SRAM). Validates the full legal address range.</t>
  </si>
  <si>
    <t xml:space="preserve">1. Write 0x11110003 → 0x0C; 0x22220080 → 0x200; 0x333300FF → 0x3FC
2. Read back each address
3. Compare every write/read pair</t>
  </si>
  <si>
    <t xml:space="preserve">(1) All 3 write/read transfers return HRESP=OKAY
(2) Read data matches written data at all 3 addresses
(3) Word 255 is not treated as out-of-range</t>
  </si>
  <si>
    <t xml:space="preserve">T1.4</t>
  </si>
  <si>
    <t xml:space="preserve">INCR4 Burst Write + Read Verify</t>
  </si>
  <si>
    <t xml:space="preserve">TC_L1_INCR4_WR_RD</t>
  </si>
  <si>
    <t xml:space="preserve">Write 4 words as an INCR4 burst from HADDR=0x10, then read them back. Checks the WBURST/RBURST states, beat_cnt countdown, incrementing local_addr, and per-beat data integrity.</t>
  </si>
  <si>
    <t xml:space="preserve">1. NONSEQ + HADDR=0x10, HBURST=INCR4, HWRITE=1; 3 SEQ beats: 0x14→0x18→0x1C
2. HWDATA: 0xAAAA0001 → 0xBBBB0002 → 0xCCCC0003 → 0xDDDD0004; check HRESP every beat
3. NONSEQ + HADDR=0x10, HBURST=INCR4, HWRITE=0
4. Capture HRDATA on each beat when HREADYOUT=1; compare all 4 values</t>
  </si>
  <si>
    <t xml:space="preserve">(1) Write: 4 beats HRESP=OKAY; beat_cnt counts 4→3→2→1; local_addr advances 4→5→6→7
(2) Read: rdata[0..3] = 0xAAAA0001 / 0xBBBB0002 / 0xCCCC0003 / 0xDDDD0004; HRESP=OKAY every beat</t>
  </si>
  <si>
    <t xml:space="preserve">T1.5</t>
  </si>
  <si>
    <t xml:space="preserve">Fixed-Length Burst Scaling (INCR8 + INCR16)</t>
  </si>
  <si>
    <t xml:space="preserve">TC_L1_FIXED_BURST_SCALE</t>
  </si>
  <si>
    <t xml:space="preserve">Verify beat_cnt counts without error for INCR8 (8 beats) and INCR16 (16 beats). INCR8 exercises beats_of()=8; INCR16 exercises the 6-bit beat_cnt for full-count correctness.</t>
  </si>
  <si>
    <t xml:space="preserve">1. INCR8 write 8 ascending words (0xA0000001..0xA0000008) from HADDR=0x40; read back; compare 8 pairs
2. INCR16 write 16 words from HADDR=0x80; read back; compare 16 pairs</t>
  </si>
  <si>
    <t xml:space="preserve">(1) INCR8: 8 write + 8 read beats all OKAY; data matches 8/8; local_addr 0x10→0x17
(2) INCR16: 16 beats OKAY; data matches 16/16; beat_cnt loads 16 and counts to 1 without underflow</t>
  </si>
  <si>
    <t xml:space="preserve">Medium</t>
  </si>
  <si>
    <t xml:space="preserve">T1.6</t>
  </si>
  <si>
    <t xml:space="preserve">WRAP4 Burst (Address Wrap)</t>
  </si>
  <si>
    <t xml:space="preserve">TC_L1_WRAP4</t>
  </si>
  <si>
    <t xml:space="preserve">WRAP4 burst with a start address NOT aligned to the wrap boundary: HADDR=0x18 (word 6). Address must wrap within the 4-word block: 6→7→4→5 (bits[7:2] fixed, bits[1:0] wrap).</t>
  </si>
  <si>
    <t xml:space="preserve">1. WRAP4 write 4 beats from 0x18: data D6, D7, D4, D5
2. Single-read each of words 4, 5, 6, 7 back to verify
3. Observe local_addr following next_burst_addr()</t>
  </si>
  <si>
    <t xml:space="preserve">(1) local_addr sequence: 6→7→4→5
(2) memory_slave[4..7] hold correct values in wrap order
(3) HRESP=OKAY every beat</t>
  </si>
  <si>
    <t xml:space="preserve">T1.7</t>
  </si>
  <si>
    <t xml:space="preserve">INCR Undefined-Length</t>
  </si>
  <si>
    <t xml:space="preserve">TC_L1_INCR_UNDEF</t>
  </si>
  <si>
    <t xml:space="preserve">Undefined-length INCR burst (slave caps at 32 beats). BFM drives 6 beats then terminates with IDLE. Verifies the slave ends the burst when the master stops.</t>
  </si>
  <si>
    <t xml:space="preserve">1. NONSEQ + HBURST=INCR, HWRITE=1 from 0x100
2. Drive 5 more SEQ beats (6 total)
3. Drive HTRANS=IDLE
4. Read back the 6 words</t>
  </si>
  <si>
    <t xml:space="preserve">(1) The 6 words are written correctly
(2) Slave returns to ST_IDLE after HTRANS=IDLE
(3) No spurious 7th word written</t>
  </si>
  <si>
    <t xml:space="preserve">T1.8</t>
  </si>
  <si>
    <t xml:space="preserve">No-Action Transfers (IDLE + Deselected)</t>
  </si>
  <si>
    <t xml:space="preserve">TC_L1_NO_ACTION</t>
  </si>
  <si>
    <t xml:space="preserve">Two scenarios that must produce no side effects on FSM or memory:
Phase A — HTRANS=IDLE while HSELx=1 (slave selected but idle);
Phase B — HSELx=0 while HTRANS=NONSEQ is on the bus (slave not selected).</t>
  </si>
  <si>
    <t xml:space="preserve">Phase A: 1. Snapshot memory; 2. Drive HSELx=1, HTRANS=IDLE, HWRITE=1, HWDATA=0xBAD0BAD0 for 3 cycles; 3. Check HREADYOUT/HRESP each cycle; 4. Compare memory
Phase B: 1. Drive HSELx=0; 2. Drive NONSEQ WRITE HADDR=0x20, HWDATA=0xBAD1BAD1; 3. Observe FSM and memory; 4. Set HSELx=1 and read 0x20 back</t>
  </si>
  <si>
    <t xml:space="preserve">Phase A—(1) HREADYOUT=1, HRESP=OKAY every IDLE cycle; (2) FSM stays in ST_IDLE; (3) Memory unchanged
Phase B—(4) FSM stays in ST_IDLE; (5) memory_slave[8] not written with 0xBAD1BAD1; (6) HREADYOUT=1, HRESP=OKAY (deselected default)</t>
  </si>
  <si>
    <t xml:space="preserve">T1.9</t>
  </si>
  <si>
    <t xml:space="preserve">SPLIT Response Trigger + HSPLITx Timing</t>
  </si>
  <si>
    <t xml:space="preserve">TC_L1_SPLIT_TRIGGER_TIMING</t>
  </si>
  <si>
    <t xml:space="preserve">Single READ at any address (e.g. 0x40, word 16). The TB asserts force_split=1 during the data-phase beat to produce a 2-cycle SPLIT (cyc1: HREADYOUT=0+SPLIT, cyc2: HREADYOUT=1+SPLIT). Immediately after, measures that HSPLITx[split_master_reg] is asserted for exactly 1 cycle (HMASTLOCK=0).</t>
  </si>
  <si>
    <t xml:space="preserve">1. NONSEQ READ HADDR=0x40, HBURST=SINGLE
2. While in ST_RBURST: TB asserts force_split=1; observe the 2-cycle response
3. Deassert force_split=0; master pulls HTRANS to IDLE
4. Using HMASTER=4’d0, HMASTLOCK=0: count cycles from end of HRESP=SPLIT to HSPLITx[0]=1; measure pulse width</t>
  </si>
  <si>
    <t xml:space="preserve">(1) HRESP=SPLIT (2’b11) held for exactly 2 cycles
(2) HREADYOUT sequence 0→1 in the correct order
(3) FSM path: RBURST→LITTLE→IDLE (ver4: no ST_TIME_PASS)
(4) Works at a non-zero address
(5) HSPLITx[0]=1 asserted for exactly 1 cycle, then returns to 0
(6) split_master_reg latched the correct HMASTER at the trigger cycle</t>
  </si>
  <si>
    <t xml:space="preserve">T1.10</t>
  </si>
  <si>
    <t xml:space="preserve">SPLIT while HMASTLOCK=1</t>
  </si>
  <si>
    <t xml:space="preserve">TC_L1_SPLIT_LOCKED</t>
  </si>
  <si>
    <t xml:space="preserve">When HMASTLOCK=1 the slave must NOT issue SPLIT. Correct ver4 behavior: force_split/force_retry are suppressed under lock; the slave completes the locked transfer with OKAY (IHI0011A §3.12.3).</t>
  </si>
  <si>
    <t xml:space="preserve">1. Set HMASTLOCK=1
2. Perform a locked transfer (force_split asserted but suppressed)
3. Confirm slave does NOT enter removed ST_TIME_PASS and does NOT issue SPLIT
4. Slave completes with OKAY; release HMASTLOCK</t>
  </si>
  <si>
    <t xml:space="preserve">(1) While HMASTLOCK=1: HRESP=OKAY (no SPLIT), slave services the transfer
(2) Slave never enters ST_TIME_PASS (removed in ver4)
(3) Locked transfer completes with no data loss</t>
  </si>
  <si>
    <t xml:space="preserve">T1.11</t>
  </si>
  <si>
    <t xml:space="preserve">Memory Integrity Checks (Seed + Persistence)</t>
  </si>
  <si>
    <t xml:space="preserve">TC_L1_MEM_INTEGRITY</t>
  </si>
  <si>
    <t xml:space="preserve">Two read-only checks combined: (A) verify the initial-block seed values (word0=10, word2=30); (B) verify that the T1.2 write data (word1=0xDEADBEEF) survives all intervening tests.</t>
  </si>
  <si>
    <t xml:space="preserve">1. Hold force_split=0 throughout
2. NONSEQ READ HADDR=0x00 → capture HRDATA; READ HADDR=0x08 → capture HRDATA
3. NONSEQ READ HADDR=0x04 → capture HRDATA (run after all other L1 tests)
4. Compare all three values</t>
  </si>
  <si>
    <t xml:space="preserve">(1) word0 = 0x0A (seed 10); word2 = 0x1E (seed 30); HRESP=OKAY
(2) word1 = 0xDEADBEEF (T1.2 value not overwritten); HRESP=OKAY</t>
  </si>
  <si>
    <t xml:space="preserve">T1.12</t>
  </si>
  <si>
    <t xml:space="preserve">Back-to-Back Transfers</t>
  </si>
  <si>
    <t xml:space="preserve">TC_L1_BACK2BACK</t>
  </si>
  <si>
    <t xml:space="preserve">Two consecutive single writes: the second NONSEQ is issued on the HREADYOUT=1 cycle of transfer 1. Checks that the slave re-latches the new address correctly (re-arm from ST_IDLE).</t>
  </si>
  <si>
    <t xml:space="preserve">1. Write 0xCAFE0001 → 0x30
2. On the HREADYOUT=1 cycle of transfer 1, issue NONSEQ write 0xCAFE0002 → 0x34
3. Read both addresses back</t>
  </si>
  <si>
    <t xml:space="preserve">(1) Both writes return OKAY
(2) memory[12]=0xCAFE0001 and memory[13]=0xCAFE0002
(3) The second NONSEQ is not lost</t>
  </si>
  <si>
    <t xml:space="preserve">T1.13</t>
  </si>
  <si>
    <t xml:space="preserve">RETRY Response Trigger</t>
  </si>
  <si>
    <t xml:space="preserve">TC_L1_RETRY_TRIGGER</t>
  </si>
  <si>
    <t xml:space="preserve">Single WRITE at any address; TB asserts force_retry=1 during the beat’s data phase, producing a 2-cycle RETRY (cyc1 HREADYOUT=0+RETRY, cyc2 HREADYOUT=1+RETRY). FSM: WBURST→ST_RETRY2→IDLE.</t>
  </si>
  <si>
    <t xml:space="preserve">1. NONSEQ WRITE HADDR=0x80, SINGLE, HWDATA=0xDEADBEEF
2. While in ST_WBURST: TB asserts force_retry=1
3. Cyc1: HREADYOUT=0, HRESP=RETRY; Cyc2: HREADYOUT=1, HRESP=RETRY
4. Deassert force_retry=0; master drives IDLE</t>
  </si>
  <si>
    <t xml:space="preserve">(1) HRESP=RETRY (2’b10) held for exactly 2 cycles; HREADYOUT 0→1
(2) HSPLITx=0 throughout (RETRY≠SPLIT); split_master_reg unchanged
(3) memory_slave[32] NOT written (beat aborted)</t>
  </si>
  <si>
    <t xml:space="preserve">T1.14</t>
  </si>
  <si>
    <t xml:space="preserve">RETRY Until OKAY + Busy Re-Arm</t>
  </si>
  <si>
    <t xml:space="preserve">TC_L1_RETRY_UNTIL_OKAY</t>
  </si>
  <si>
    <t xml:space="preserve">TB controls the retry count: holds force_retry=1 for the first N attempts then drops it; BFM auto-retries until OKAY. Verifies data is committed only on the accepted attempt.</t>
  </si>
  <si>
    <t xml:space="preserve">1. TB: force_retry=1
2. BFM writes 0xABCD0001 → 0x80 (re-issued each RETRY)
3. After 2 RETRYs drop force_retry=0
4. Next attempt: OKAY, memory[32]=0xABCD0001
5. Repeat with different data to confirm repeatability</t>
  </si>
  <si>
    <t xml:space="preserve">(1) RETRY response count equals the cycles TB held force_retry
(2) Final attempt returns OKAY and writes data correctly
(3) RETRY’d attempts leave memory unchanged</t>
  </si>
  <si>
    <t xml:space="preserve">T1.15</t>
  </si>
  <si>
    <t xml:space="preserve">RETRY No Side-Effect / No Mask Path</t>
  </si>
  <si>
    <t xml:space="preserve">TC_L1_RETRY_ISOLATION</t>
  </si>
  <si>
    <t xml:space="preserve">A beat aborted by RETRY has no side effects: memory not written (resp_abort gate), beat_cnt &amp; local_addr freeze, HSPLITx=0, split_master_reg stable. Contrasts with force_split to confirm the two paths are distinct.</t>
  </si>
  <si>
    <t xml:space="preserve">1. Snapshot target memory
2. Write 1 beat with force_retry=1 then STOP
3. Check memory unchanged, HSPLITx=0, beat_cnt frozen
4. Deassert force_retry=0; write again → OKAY immediately
5. Contrast: apply force_split on the same beat → SPLIT asserts HSPLITx</t>
  </si>
  <si>
    <t xml:space="preserve">(1) RETRY’d beat: memory, beat_cnt, local_addr all hold their values
(2) HSPLITx=0; split_master_reg stable
(3) force=0 → OKAY with zero side effects
(4) Behavior is clearly distinct from force_split</t>
  </si>
  <si>
    <t xml:space="preserve">T1.16</t>
  </si>
  <si>
    <t xml:space="preserve">SPLIT Mid-Burst (INCR4)</t>
  </si>
  <si>
    <t xml:space="preserve">TC_L1_SPLIT_MIDBURST</t>
  </si>
  <si>
    <t xml:space="preserve">SPLIT injected at beat 3 of 4 in an INCR4 write burst. Verifies beats 1–2 committed, beat 3 aborted (not written), burst ends, master re-attempts.</t>
  </si>
  <si>
    <t xml:space="preserve">1. INCR4 WRITE 4 beats from 0x40 (word 16–19), data D1..D4
2. At beat 3 (word 18): TB asserts force_split=1
3. Observe: cyc1 HREADYOUT=0+SPLIT, cyc2 ST_LITTLE
4. Check memory[16]=D1, memory[17]=D2 (committed), memory[18] NOT written
5. Confirm HSPLITx asserts (HMASTLOCK=0)</t>
  </si>
  <si>
    <t xml:space="preserve">(1) SPLIT occurs exactly at beat 3
(2) memory[16],[17]=D1,D2; memory[18]=0 (aborted)
(3) beat_cnt/local_addr freeze at the aborted beat
(4) HSPLITx[master] asserts → arbiter masks the master</t>
  </si>
  <si>
    <t xml:space="preserve">T1.17</t>
  </si>
  <si>
    <t xml:space="preserve">RETRY Mid-Burst (WRAP4)</t>
  </si>
  <si>
    <t xml:space="preserve">TC_L1_RETRY_MIDBURST</t>
  </si>
  <si>
    <t xml:space="preserve">RETRY injected at beat 2 of 4 in a WRAP4 read burst (wrap order 6→7→4→5). Verifies no side effects, correct 2-cycle response, and master re-attempts.</t>
  </si>
  <si>
    <t xml:space="preserve">1. WRAP4 READ 4 beats from 0x18 (word 6 start)
2. At beat 2 (word 7): TB asserts force_retry=1
3. Observe 2-cycle RETRY, HSPLITx=0
4. Deassert force_retry=0; master re-issues burst
5. Verify data read correctly after re-attempt</t>
  </si>
  <si>
    <t xml:space="preserve">(1) RETRY at exactly beat 2 inside WRAP4
(2) HREADYOUT 0→1, HRESP=RETRY for 2 cycles
(3) HSPLITx=0 (RETRY does not mask)
(4) Re-attempt reads the correct data</t>
  </si>
  <si>
    <t xml:space="preserve">T1.18</t>
  </si>
  <si>
    <t xml:space="preserve">force_split vs force_retry Priority</t>
  </si>
  <si>
    <t xml:space="preserve">TC_L1_FORCE_PRIORITY</t>
  </si>
  <si>
    <t xml:space="preserve">When force_split=1 and force_retry=1 are simultaneously asserted (illegal), the design gives SPLIT priority. Verifies the response resolves to SPLIT and that assertion a_force_mutex fires.</t>
  </si>
  <si>
    <t xml:space="preserve">1. Perform 1 write/read beat
2. TB asserts force_split=1 and force_retry=1 simultaneously
3. Observe HRESP
4. Check assertion a_force_mutex fires (warning)</t>
  </si>
  <si>
    <t xml:space="preserve">(1) HRESP=SPLIT (2’b11), NOT RETRY
(2) Assertion a_force_mutex flags the mutual-exclusion violation
(3) Behavior is deterministic</t>
  </si>
  <si>
    <t xml:space="preserve">Low</t>
  </si>
  <si>
    <t xml:space="preserve">Layer 2
Integration
(1 Master)</t>
  </si>
  <si>
    <t xml:space="preserve">T2.1</t>
  </si>
  <si>
    <t xml:space="preserve">Arbiter Grant from IDLE</t>
  </si>
  <si>
    <t xml:space="preserve">TC_L2_GRANT_FROM_IDLE</t>
  </si>
  <si>
    <t xml:space="preserve">M1 requests the bus from the arbiter’s ST_IDLE. Measures grant latency and checks HMASTER encoding (M1=HMASTER=0).</t>
  </si>
  <si>
    <t xml:space="preserve">1. Reset; arbiter in ST_IDLE
2. M1 asserts HBUSREQ=1
3. Count cycles until HGRANT_M1=1
4. BFM drives NONSEQ on the grant cycle</t>
  </si>
  <si>
    <t xml:space="preserve">(1) HGRANT_M1=1 after 1 FSM cycle
(2) HMASTER=4’d0
(3) No gap between grant and NONSEQ (no ghost transfer)</t>
  </si>
  <si>
    <t xml:space="preserve">T2.2</t>
  </si>
  <si>
    <t xml:space="preserve">Write + Read S1 via Interconnect</t>
  </si>
  <si>
    <t xml:space="preserve">TC_L2_M1_WR_RD_S1</t>
  </si>
  <si>
    <t xml:space="preserve">M1 writes 0x5A5A0010 to Slave 1 (0x0000_0010) through the full interconnect path (Arbiter→addr_ctrl_mux→Decoder→write_data_mux→Slave), then reads it back to verify the read_data_mux pipeline: mux_sel_data_phase lags MUX_SEL by exactly one HREADY-gated cycle.</t>
  </si>
  <si>
    <t xml:space="preserve">1. M1 ensure_grant; NONSEQ WRITE 0x0000_0010 with data 0x5A5A0010
2. Check: HGRANT_M1=1, HSEL_S1=1, MUX_SEL=2’b00, HRESP_M=OKAY, memory_slave1[4]=0x5A5A0010
3. NONSEQ READ 0x0000_0010
4. Observe MUX_SEL=2’b00 in Address Phase; next cycle mux_sel_data_phase=00→routes HRDATA_S1
5. Capture HRDATA_M</t>
  </si>
  <si>
    <t xml:space="preserve">(1) Write: HGRANT_M1=1, HSEL_S1=1, HRESP_M=OKAY, memory_slave1[4]=0x5A5A0010
(2) Read: HRDATA_M=0x5A5A0010, HRESP_M=OKAY
(3) mux_sel_data_phase = MUX_SEL delayed by exactly 1 HREADY-gated cycle</t>
  </si>
  <si>
    <t xml:space="preserve">T2.3</t>
  </si>
  <si>
    <t xml:space="preserve">Decoder Routing Sweep (S2 + S3)</t>
  </si>
  <si>
    <t xml:space="preserve">TC_L2_DECODER_S2_S3</t>
  </si>
  <si>
    <t xml:space="preserve">M1 writes/reads Slave 2 (0x4000_0010, MUX_SEL=01) then Slave 3 (0x8000_0010, MUX_SEL=10). Confirms the decoder drives exactly one HSEL at a time for all three slave regions.</t>
  </si>
  <si>
    <t xml:space="preserve">1. NONSEQ WRITE 0xCAFE1234 → 0x4000_0010; check HSEL_S2=1, others=0, MUX_SEL=2’b01; read back
2. NONSEQ WRITE 0xBEEF5678 → 0x8000_0010; check HSEL_S3=1, others=0, MUX_SEL=2’b10; read back</t>
  </si>
  <si>
    <t xml:space="preserve">(1) S2 step: HSEL_S2=1 (S1,S3,DEFAULT=0); MUX_SEL=2’b01; rdata=0xCAFE1234; HRESP=OKAY
(2) S3 step: HSEL_S3=1 (S1,S2,DEFAULT=0); MUX_SEL=2’b10; rdata=0xBEEF5678; HRESP=OKAY</t>
  </si>
  <si>
    <t xml:space="preserve">T2.4</t>
  </si>
  <si>
    <t xml:space="preserve">Default Slave ERROR (Read + Write)</t>
  </si>
  <si>
    <t xml:space="preserve">TC_L2_DEFAULT_ERR</t>
  </si>
  <si>
    <t xml:space="preserve">Verify the Default Slave returns a 2-cycle ERROR for both a read (0xC000_0000) and a write (0xD000_0040, unmapped). Confirms the response routes correctly through resp_mux and that no data is mistakenly written to any real slave.</t>
  </si>
  <si>
    <t xml:space="preserve">1. NONSEQ READ 0xC000_0000; decoder: HSEL_DEFAULT=1, MUX_SEL=2’b11
2. Observe 2-cycle ERROR through resp_mux; master drives HTRANS=IDLE
3. Snapshot all 3 slave memories
4. NONSEQ WRITE 0xBADBAD00 → 0xD000_0040; receive ERROR response
5. Compare all 3 slave memories before/after</t>
  </si>
  <si>
    <t xml:space="preserve">(1) Read: HSEL_DEFAULT=1; HRESP_M=ERROR (2’b01) for 2 cycles; HREADY_GLOBAL 0→1; no side effect on S1–S3
(2) Write: HRESP_M=ERROR for 2 cycles; all 3 slave memories unchanged</t>
  </si>
  <si>
    <t xml:space="preserve">T2.5</t>
  </si>
  <si>
    <t xml:space="preserve">Decode Boundary Addresses</t>
  </si>
  <si>
    <t xml:space="preserve">TC_L2_DECODE_BOUNDARY</t>
  </si>
  <si>
    <t xml:space="preserve">Test the decode-region boundary on HADDR[31:30]: last word of S1 (0x3FFF_FFFC) vs first of S2 (0x4000_0000); last word of S3 (0xBFFF_FFFC) vs first of Default (0xC000_0000).</t>
  </si>
  <si>
    <t xml:space="preserve">1. Write to 0x3FFF_FFFC → check HSEL_S1
2. Write to 0x4000_0000 → check HSEL_S2
3. Write to 0xBFFF_FFFC → check HSEL_S3
4. Write to 0xC000_0000 → Default ERROR</t>
  </si>
  <si>
    <t xml:space="preserve">(1) Each address selects exactly one HSEL per HADDR[31:30]
(2) 3 legal writes return OKAY (including 0x4000_0000); 0xC000_0000 returns ERROR
(3) No aliasing between regions</t>
  </si>
  <si>
    <t xml:space="preserve">T2.6</t>
  </si>
  <si>
    <t xml:space="preserve">HREADY Feedback Loop</t>
  </si>
  <si>
    <t xml:space="preserve">TC_L2_HREADY_GLOBAL</t>
  </si>
  <si>
    <t xml:space="preserve">A wait-state from the Slave’s ST_ACTIVE (HREADYOUT_S1=0) must propagate correctly through ready_mux→HREADY_GLOBAL→enable of every registered mux and the arbiter.</t>
  </si>
  <si>
    <t xml:space="preserve">1. M1 writes Slave 1
2. During ST_ACTIVE: HREADYOUT_S1=0; observe HREADY_GLOBAL=0
3. Check mux_sel_data_phase / master_sel_data_phase HOLD
4. HREADY=1 → pipeline resumes</t>
  </si>
  <si>
    <t xml:space="preserve">(1) HREADY_GLOBAL = HREADYOUT_S1 while S1 active
(2) Registered muxes do not update while HREADY_GLOBAL=0
(3) Pipeline resumes exactly 1 cycle later</t>
  </si>
  <si>
    <t xml:space="preserve">T2.7</t>
  </si>
  <si>
    <t xml:space="preserve">Cross-Slave Read-after-Write</t>
  </si>
  <si>
    <t xml:space="preserve">TC_L2_CROSS_SLAVE_RAW</t>
  </si>
  <si>
    <t xml:space="preserve">Write S1 → Read S2 → Read S1. The decoder switches MUX_SEL 00→01→00 consecutively; read_data_mux must not mix data between slaves.</t>
  </si>
  <si>
    <t xml:space="preserve">1. Write 0xAAAABBBB → S1 (0x0000_0030)
2. Read S2 (0x4000_0008, word with known seed data)
3. Read back S1 (0x0000_0030)
4. Observe MUX_SEL and mux_sel_data_phase</t>
  </si>
  <si>
    <t xml:space="preserve">(1) S2 read returns S2’s correct data
(2) S1 read returns 0xAAAABBBB
(3) MUX_SEL switch is glitch-free; no data mixed between slaves</t>
  </si>
  <si>
    <t xml:space="preserve">T2.8</t>
  </si>
  <si>
    <t xml:space="preserve">Burst via Interconnect (INCR4 S1 + INCR8 S2)</t>
  </si>
  <si>
    <t xml:space="preserve">TC_L2_BURST_INTC</t>
  </si>
  <si>
    <t xml:space="preserve">Verify multi-beat pipeline alignment through the interconnect for two burst types and two slave regions. INCR4 → S1 checks HMASTER/MUX_SEL stability; INCR8 → S2 checks sustained HSEL_S2 across a longer burst.</t>
  </si>
  <si>
    <t xml:space="preserve">1. INCR4 write 4 beats (0x11110001..0x44440004) to S1 (0x0000_0040); INCR4 read back; compare beats
2. Check HMASTER, MUX_SEL=00 stable throughout the S1 burst
3. INCR8 write 8 beats to S2 (0x4000_0100); INCR8 read back; compare 8 pairs
4. Check HSEL_S2=1 stable across all 8 S2 beats</t>
  </si>
  <si>
    <t xml:space="preserve">(1) INCR4 S1: 4 write + 4 read OKAY; data matches; HMASTER/MUX_SEL stable
(2) INCR8 S2: 8/8 data matches; every beat OKAY; HSEL_S2=1 stable across burst</t>
  </si>
  <si>
    <t xml:space="preserve">T2.9</t>
  </si>
  <si>
    <t xml:space="preserve">SPLIT Single-Master Recovery</t>
  </si>
  <si>
    <t xml:space="preserve">TC_L2_SPLIT_RECOVER</t>
  </si>
  <si>
    <t xml:space="preserve">M1 triggers a SPLIT (read 0x0000_0000, force_split). Arbiter masks M1 → bus returns to ST_IDLE. HSPLITx unmasks M1 → retry succeeds.</t>
  </si>
  <si>
    <t xml:space="preserve">1. M1 READ S1 + force_split → SPLIT
2. Arbiter: split_mask_m1_q=1, FSM returns to ST_IDLE
3. Observe HGRANT_M1=0 even with HBUSREQ_M1=1
4. S1 asserts HSPLIT_S1[0] → unmask
5. M1 retries read (different address) → OKAY</t>
  </si>
  <si>
    <t xml:space="preserve">(1) split_mask_m1_q sets then clears at the correct times
(2) HGRANT_M1=0 during masked window
(3) Retry after unmask returns OKAY</t>
  </si>
  <si>
    <t xml:space="preserve">T2.10</t>
  </si>
  <si>
    <t xml:space="preserve">IDLE Transfer via Interconnect</t>
  </si>
  <si>
    <t xml:space="preserve">TC_L2_IDLE_INTC</t>
  </si>
  <si>
    <t xml:space="preserve">M1 is granted but holds HTRANS=IDLE. The whole system must return zero-wait OKAY (resp_mux/ready_mux default path).</t>
  </si>
  <si>
    <t xml:space="preserve">1. M1 ensure_grant; hold HTRANS=IDLE for 3 cycles
2. Observe HREADY_GLOBAL, HRESP_M
3. Note arbiter’s idle_grant_cnt incrementing</t>
  </si>
  <si>
    <t xml:space="preserve">(1) HREADY_GLOBAL=1, HRESP_M=OKAY every IDLE cycle
(2) No slave changes FSM state</t>
  </si>
  <si>
    <t xml:space="preserve">T2.11</t>
  </si>
  <si>
    <t xml:space="preserve">Sequential Multi-Slave Sweep</t>
  </si>
  <si>
    <t xml:space="preserve">TC_L2_SLAVE_SWEEP</t>
  </si>
  <si>
    <t xml:space="preserve">Consecutive sequence S1→S2→S3→Default→S1 (write/write/write/error/read). Stresses decoder + continuous resp_mux switching.</t>
  </si>
  <si>
    <t xml:space="preserve">1. Write S1 (0x0000_0060)
2. Write S2 (0x4000_0060)
3. Write S3 (0x8000_0060)
4. Write 0xC000_0060 → ERROR
5. Read back S1</t>
  </si>
  <si>
    <t xml:space="preserve">(1) 3 writes OKAY; 1 ERROR in correct position
(2) Final S1 read matches data
(3) MUX_SEL passes through all 4 values 00→01→10→11</t>
  </si>
  <si>
    <t xml:space="preserve">T2.12</t>
  </si>
  <si>
    <t xml:space="preserve">RETRY via Interconnect (No Arbiter Mask)</t>
  </si>
  <si>
    <t xml:space="preserve">TC_L2_RETRY_INTC</t>
  </si>
  <si>
    <t xml:space="preserve">M1 writes any address in S1; TB forces S1.force_retry → M1 receives RETRY through resp_mux/ready_mux. Key point: arbiter does NOT mask M1 (split_confirmed only matches 2’b11); M1 keeps grant and BFM re-issues until OKAY.</t>
  </si>
  <si>
    <t xml:space="preserve">1. M1 ensure_grant; NONSEQ WRITE S1
2. TB: S1.force_retry=1 → HRESP_M=RETRY 2 cycles, HREADY_GLOBAL 0→1
3. Check split_mask_m1_q=0, HGRANT_M1 still =1
4. TB drops force_retry=0 → BFM re-issues → OKAY
5. Verify memory S1 = wdata</t>
  </si>
  <si>
    <t xml:space="preserve">(1) HRESP_M=RETRY routed correctly through resp_mux
(2) split_mask_m1_q=0 throughout (NO mask)
(3) HGRANT_M1 stays asserted between attempts
(4) Final attempt OKAY; data written correctly</t>
  </si>
  <si>
    <t xml:space="preserve">T2.13</t>
  </si>
  <si>
    <t xml:space="preserve">Both Masters IDLE (No Contention)</t>
  </si>
  <si>
    <t xml:space="preserve">TC_L2_BOTH_IDLE</t>
  </si>
  <si>
    <t xml:space="preserve">Both M1 and M2 are granted in sequence but both hold HTRANS=IDLE. Verifies idle_grant_cnt increments correctly per master and that idle_force_switch fires correctly when no real transfer is active.</t>
  </si>
  <si>
    <t xml:space="preserve">1. M1 ensure_grant; hold HTRANS=IDLE for 3 cycles; observe idle_grant_cnt increment
2. M2 asserts HBUSREQ; at cnt=4 idle_force_switch fires; grant switches to M2
3. M2 also holds HTRANS=IDLE for 3 cycles; observe HREADY_GLOBAL, HRESP_M
4. Confirm neither slave changes FSM state throughout</t>
  </si>
  <si>
    <t xml:space="preserve">(1) idle_grant_cnt reaches 4 → idle_force_switch=1; grant switches M1→M2
(2) HREADY_GLOBAL=1, HRESP_M=OKAY on every IDLE cycle for both masters
(3) No slave FSM changes state</t>
  </si>
  <si>
    <t xml:space="preserve">Layer 3
System Test
(2 Masters)</t>
  </si>
  <si>
    <t xml:space="preserve">T3.1</t>
  </si>
  <si>
    <t xml:space="preserve">Dual-Master Round-Robin</t>
  </si>
  <si>
    <t xml:space="preserve">TC_L3_ROUND_ROBIN</t>
  </si>
  <si>
    <t xml:space="preserve">M1 and M2 request simultaneously. Arbiter arbitrates round-robin via last_master_q (reset=2 → M1 wins first round).</t>
  </si>
  <si>
    <t xml:space="preserve">1. M1+M2 both assert HBUSREQ
2. Grant M1 (last_master=2)
3. M1 single write done → grant M2
4. M2 single write done → grant M1
5. Observe HMASTER alternating 0→1→0</t>
  </si>
  <si>
    <t xml:space="preserve">(1) HGRANT alternates M1/M2 with no starvation
(2) last_master_q updates correctly after each transfer
(3) Every transfer returns OKAY</t>
  </si>
  <si>
    <t xml:space="preserve">T3.2</t>
  </si>
  <si>
    <t xml:space="preserve">Grant M2 from IDLE</t>
  </si>
  <si>
    <t xml:space="preserve">TC_L3_M2_ONLY</t>
  </si>
  <si>
    <t xml:space="preserve">Only M2 requests from arbiter ST_IDLE (rarely-exercised branch: IDLE→GNT_M2 directly).</t>
  </si>
  <si>
    <t xml:space="preserve">1. M1 does not request
2. M2 asserts HBUSREQ
3. Arbiter IDLE→ST_GNT_M2
4. M2 write/read S3 and verify</t>
  </si>
  <si>
    <t xml:space="preserve">(1) HGRANT_M2=1, HMASTER=4’d1
(2) M2 transfer OKAY; data matches
(3) FSM does not pass through GNT_M1</t>
  </si>
  <si>
    <t xml:space="preserve">T3.3</t>
  </si>
  <si>
    <t xml:space="preserve">Handover During Transfer</t>
  </si>
  <si>
    <t xml:space="preserve">TC_L3_HANDOVER</t>
  </si>
  <si>
    <t xml:space="preserve">M1 is mid-transfer when M2 requests. Arbiter waits for M1 to complete (HREADY=1) before switching grant.</t>
  </si>
  <si>
    <t xml:space="preserve">1. M1 starts a single write
2. Mid data-phase M2 asserts HBUSREQ
3. Arbiter holds HGRANT_M1 until HREADY=1
4. Handover: HGRANT_M1→0, HGRANT_M2→1
5. M2 transfers</t>
  </si>
  <si>
    <t xml:space="preserve">(1) M1 transfer is not cut off
(2) Grant switches exactly on the HREADY=1 boundary
(3) M2 transfer succeeds after handover</t>
  </si>
  <si>
    <t xml:space="preserve">T3.4</t>
  </si>
  <si>
    <t xml:space="preserve">Handover Blocked by Wait-State</t>
  </si>
  <si>
    <t xml:space="preserve">TC_L3_HANDOVER_WAIT</t>
  </si>
  <si>
    <t xml:space="preserve">M2 requests exactly while HREADY_GLOBAL=0 (slave wait-state in ST_ACTIVE). Grant must not change while HREADY=0.</t>
  </si>
  <si>
    <t xml:space="preserve">1. M1 writes S1; enters cycle where HREADYOUT_S1=0
2. M2 asserts HBUSREQ on that exact cycle
3. Observe HGRANT during HREADY=0 cycles
4. After HREADY=1 → normal handover</t>
  </si>
  <si>
    <t xml:space="preserve">(1) HGRANT_M1 holds throughout the wait-state
(2) Handover only occurs when HREADY=1
(3) No glitch on HMASTER</t>
  </si>
  <si>
    <t xml:space="preserve">T3.5</t>
  </si>
  <si>
    <t xml:space="preserve">Locked Burst (HLOCK)</t>
  </si>
  <si>
    <t xml:space="preserve">TC_L3_LOCKED_BURST</t>
  </si>
  <si>
    <t xml:space="preserve">M1 with HLOCK=1 + INCR4. Arbiter does not switch grant to M2 for the whole burst even though M2 requests.</t>
  </si>
  <si>
    <t xml:space="preserve">1. M1 asserts HLOCK+HBUSREQ; HMASTLOCK=1
2. INCR4 4 beats; M2 requests mid-burst
3. M1 releases HLOCK → grant M2</t>
  </si>
  <si>
    <t xml:space="preserve">(1) HMASTLOCK=1 throughout burst
(2) HGRANT_M1=1, HGRANT_M2=0 throughout burst
(3) M2 granted only after HLOCK released
(4) Lock holds even if SPLIT is received (HLOCK&gt;SPLIT, §3.11.5)</t>
  </si>
  <si>
    <t xml:space="preserve">T3.6</t>
  </si>
  <si>
    <t xml:space="preserve">Unlocked Burst Protection</t>
  </si>
  <si>
    <t xml:space="preserve">TC_L3_BURST_ACTIVE</t>
  </si>
  <si>
    <t xml:space="preserve">An UNLOCKED INCR4 from M1 must not be cut off mid-burst, via burst_active/burst_remaining in the arbiter.</t>
  </si>
  <si>
    <t xml:space="preserve">1. M1 INCR4 write (HLOCK=0)
2. M2 asserts HBUSREQ at beat 2
3. Observe burst_active=1; HGRANT holds M1 through beat 4
4. Last beat done → handover to M2</t>
  </si>
  <si>
    <t xml:space="preserve">(1) Grant does not change from beat 1→4
(2) burst_remaining counts correctly to 0
(3) M2 receives grant immediately after the last beat</t>
  </si>
  <si>
    <t xml:space="preserve">T3.7</t>
  </si>
  <si>
    <t xml:space="preserve">Idle Force Switch</t>
  </si>
  <si>
    <t xml:space="preserve">TC_L3_IDLE_FORCE</t>
  </si>
  <si>
    <t xml:space="preserve">M1 holds HTRANS=IDLE for ≥4 cycles while M2 requests → idle_force_switch overrides round-robin, switches grant to M2 (anti-bus-hogging).</t>
  </si>
  <si>
    <t xml:space="preserve">1. M1 ensure_grant; hold IDLE (HBUSREQ still =1)
2. M2 asserts HBUSREQ
3. Count idle_grant_cnt 0→4
4. At cnt=4: grant switches to M2
5. M2 transfers OK</t>
  </si>
  <si>
    <t xml:space="preserve">(1) idle_grant_cnt reaches 4 → idle_force_switch=1
(2) HGRANT switches M1→M2 even though M1 still requests
(3) M2 transfer OKAY</t>
  </si>
  <si>
    <t xml:space="preserve">T3.8</t>
  </si>
  <si>
    <t xml:space="preserve">SPLIT + Master Switch</t>
  </si>
  <si>
    <t xml:space="preserve">TC_L3_SPLIT_SWITCH</t>
  </si>
  <si>
    <t xml:space="preserve">M1 (HLOCK=0, UNLOCKED) triggers SPLIT → arbiter masks M1 and grants M2 immediately. Split-off applies ONLY to unlocked masters; see T3.17 for locked case.</t>
  </si>
  <si>
    <t xml:space="preserve">1. M1 HLOCK=0, READ S1 + force_split → SPLIT
2. split_confirmed (M1 unlocked) → FSM GNT_M1→GNT_M2 (M2 requesting)
3. M2 writes S2 while M1 masked
4. HSPLIT_S1[0]=1 → unmask M1
5. M1 retries write OK</t>
  </si>
  <si>
    <t xml:space="preserve">(1) M1 masked after SPLIT (HGRANT_M1=0, HBUSREQ_M1=1)
(2) M2 granted and transfers OKAY while M1 masked
(3) M1 unmasked; retry succeeds</t>
  </si>
  <si>
    <t xml:space="preserve">T3.9</t>
  </si>
  <si>
    <t xml:space="preserve">SPLIT Aggregation (OR)</t>
  </si>
  <si>
    <t xml:space="preserve">TC_L3_SPLIT_OR</t>
  </si>
  <si>
    <t xml:space="preserve">HSPLIT_COMBINED = HSPLIT_S1 | HSPLIT_S2 | HSPLIT_S3 at top level. Each slave can unmask its corresponding master.</t>
  </si>
  <si>
    <t xml:space="preserve">1. M1 triggers SPLIT from S1 (force_split) → HSPLIT_S1[0]
2. Observe HSPLIT_COMBINED[0]=1
3. M2 triggers SPLIT from S2 (force_split) → HSPLIT_S2[1]
4. HSPLIT_COMBINED[1]=1</t>
  </si>
  <si>
    <t xml:space="preserve">(1) HSPLIT_COMBINED is the bitwise OR of the 3 slaves
(2) Each bit unmasks the correct master (bit0=M1, bit1=M2)</t>
  </si>
  <si>
    <t xml:space="preserve">T3.10</t>
  </si>
  <si>
    <t xml:space="preserve">Both Masters Split-Masked</t>
  </si>
  <si>
    <t xml:space="preserve">TC_L3_BOTH_MASKED</t>
  </si>
  <si>
    <t xml:space="preserve">Both M1 and M2 are SPLIT-masked → eff_req both =0 → arbiter returns to ST_IDLE (default-master/IDLE-only per §3.11.6). Unmask one at a time; system recovers.</t>
  </si>
  <si>
    <t xml:space="preserve">1. M1 SPLIT at S1; M2 SPLIT at S2
2. Observe arbiter ST_IDLE; both HGRANT=0
3. Each slave asserts HSPLITx to unmask
4. Both masters retry in round-robin</t>
  </si>
  <si>
    <t xml:space="preserve">(1) Both masked: HGRANT_M1=HGRANT_M2=0, arbiter=ST_IDLE
(2) Unmask in correct order with no deadlock
(3) Both retries OKAY</t>
  </si>
  <si>
    <t xml:space="preserve">T3.11</t>
  </si>
  <si>
    <t xml:space="preserve">Mux Pipeline Alignment on Master Switch</t>
  </si>
  <si>
    <t xml:space="preserve">TC_L3_MUX_PIPELINE</t>
  </si>
  <si>
    <t xml:space="preserve">When HMASTER changes 0→1 (and back), all three mux paths must update correctly in the same scenario:
(A) addr_ctrl_mux routes the full signal bundle M1→M2 in one cycle with no glitch;
(B) write_data_mux: master_sel_data_phase lags HMASTER by one HREADY-gated cycle so HWDATA aligns with Data Phase;
(C) read_data_mux: back-to-back reads across the handover deliver HRDATA to the correct master.</t>
  </si>
  <si>
    <t xml:space="preserve">1. M1 owns bus (HMASTER=0): verify HADDR_S/HTRANS_S/HWRITE_S/HSIZE_S/HBURST_S = M1 signals
2. Handover to M2 (HMASTER=4’d1): verify bus bundle switches atomically to M2 signals in the same cycle
3. M1 Address Phase (HMASTER=0) then arbiter switches to M2 next cycle: verify Data Phase master_sel_data_phase still =0 → HWDATA_S=HWDATA_M1; check M1 data written correctly, no contamination from HWDATA_M2
4. Prepare known data in S1 and S2; M1 reads S1 then immediately after handover M2 reads S2; capture HRDATA at both HREADY=1 instants; cross-compare</t>
  </si>
  <si>
    <t xml:space="preserve">(A) addr_ctrl_mux: HMASTER=0→bus=M1 signals; HMASTER=1→bus=M2 signals; switch synchronous within 1 cycle
(B) write_data_mux: master_sel_data_phase = HMASTER delayed by exactly 1 HREADY-gated cycle; HWDATA_S has the correct source; no data mixing
(C) read_data_mux: rdata_M1=S1’s data, rdata_M2=S2’s data; no pipeline swap or skew</t>
  </si>
  <si>
    <t xml:space="preserve">T3.12</t>
  </si>
  <si>
    <t xml:space="preserve">Two-Master Data Isolation</t>
  </si>
  <si>
    <t xml:space="preserve">TC_L3_DATA_ISOLATION</t>
  </si>
  <si>
    <t xml:space="preserve">Verify that two masters writing simultaneously do not contaminate each other’s data, for two topologies:
Phase A — different slaves (M1→S1, M2→S2);
Phase B — same slave (M1→S1@0x90, M2→S1@0x94), read crosswise to confirm shared-memory integrity.</t>
  </si>
  <si>
    <t xml:space="preserve">Phase A:
1. M1 writes 0xAAAA8888 → S1 (0x0000_0080)
2. M2 writes 0xBBBB9999 → S2 (0x4000_0080)
3. M1 reads S1; M2 reads S2; cross-check the two values
Phase B:
4. M1 writes 0x1111AAAA → 0x0000_0090
5. M2 writes 0x2222BBBB → 0x0000_0094
6. M1 reads 0x94 (M2’s data); M2 reads 0x90 (M1’s data)</t>
  </si>
  <si>
    <t xml:space="preserve">Phase A—(1) S1=0xAAAA8888, S2=0xBBBB9999; neither slave holds the other master’s data
Phase B—(2) All 4 transfers OKAY; cross reads return correct values; shared memory works correctly</t>
  </si>
  <si>
    <t xml:space="preserve">T3.13</t>
  </si>
  <si>
    <t xml:space="preserve">Default ERROR + Recovery</t>
  </si>
  <si>
    <t xml:space="preserve">TC_L3_ERR_RECOVERY</t>
  </si>
  <si>
    <t xml:space="preserve">M1 receives ERROR from the Default Slave; immediately afterward M2 transfers normally. One master’s ERROR does not affect the other.</t>
  </si>
  <si>
    <t xml:space="preserve">1. M1 writes 0xC000_0010 → ERROR 2 cycles; M1 returns to IDLE
2. M2 writes/reads S3; verify data
3. M1 writes/reads S1; verify (self-recovery)</t>
  </si>
  <si>
    <t xml:space="preserve">(1) M1 receives ERROR per protocol
(2) M2 OKAY immediately after
(3) M1’s next transfer OKAY — no stuck state</t>
  </si>
  <si>
    <t xml:space="preserve">T3.14</t>
  </si>
  <si>
    <t xml:space="preserve">HLOCK Overrides SPLIT (2 Masters)</t>
  </si>
  <si>
    <t xml:space="preserve">TC_L3_LOCK_OVER_SPLIT</t>
  </si>
  <si>
    <t xml:space="preserve">HLOCK has HIGHER priority than SPLIT. A locked M1 that receives SPLIT still KEEPS the bus — arbiter does NOT mask, does NOT revoke grant; M2 must wait until M1 releases HLOCK (A25, §3.11.5).</t>
  </si>
  <si>
    <t xml:space="preserve">1. M1 HLOCK=1, perform locked transfer to S1; M2 asserts HBUSREQ
2. Inject SPLIT for M1’s transfer at arbiter level (drive HRESP_S=SPLIT with HMASTLOCK=1; ver4 slave suppresses SPLIT under lock, so this validates the arbiter invariant)
3. Observe: HGRANT_M1 HOLDS, HGRANT_M2=0, split_mask_m1_q=0
4. M1 releases HLOCK → arbiter may yield to M2</t>
  </si>
  <si>
    <t xml:space="preserve">(1) split_mask_m1_q=0 entire time M1 locked (locked master never masked)
(2) HGRANT_M1 holds; HGRANT_M2=0 until HLOCK_M1=0
(3) M2 granted only after lock release</t>
  </si>
  <si>
    <t xml:space="preserve">T3.15</t>
  </si>
  <si>
    <t xml:space="preserve">Alternating Stress (Directed)</t>
  </si>
  <si>
    <t xml:space="preserve">TC_L3_ALT_STRESS</t>
  </si>
  <si>
    <t xml:space="preserve">Loop 8 rounds: M1 write/read S1, M2 write/read S2 interleaved with ascending data. Light stress of round-robin + mux pipeline; detects accumulated errors (ghost transfers, stale addresses).</t>
  </si>
  <si>
    <t xml:space="preserve">1. for i=0..7: M1 write (0xA000_0000+i) → S1[0x100+4i]; M2 write (0xB000_0000+i) → S2[0x100+4i]
2. Read back all 16 locations
3. Compare 16/16</t>
  </si>
  <si>
    <t xml:space="preserve">(1) 16/16 readbacks match
(2) Grant alternates stably across 8 rounds
(3) No ghost transfer (every readback ≠ 0x0 default)</t>
  </si>
  <si>
    <t xml:space="preserve">T3.16</t>
  </si>
  <si>
    <t xml:space="preserve">HLOCK Overrides SPLIT (1 Master, No Other Req)</t>
  </si>
  <si>
    <t xml:space="preserve">TC_L3_LOCKED_SPLIT_HOLD</t>
  </si>
  <si>
    <t xml:space="preserve">Under correct priority a locked master KEEPS the bus — arbiter holds GNT_M1, split_mask_m1_q=0, does NOT drop to ST_IDLE. Rejects the old wrong premise ‘locked SPLIT → IDLE’.</t>
  </si>
  <si>
    <t xml:space="preserve">1. Only M1 active, HLOCK=1, locked transfer to S1
2. Inject SPLIT condition (force_split) at arbiter level with HMASTLOCK=1
3. Observe: arbiter HOLDS GNT_M1 (NOT ST_IDLE); split_mask_m1_q=0
4. M1 re-broadcasts locked transfer
5. ver4 slave completes with OKAY; M1 releases HLOCK</t>
  </si>
  <si>
    <t xml:space="preserve">(1) Arbiter holds GNT_M1 and does NOT drop to IDLE
(2) split_mask_m1_q=0
(3) After slave services it, M1 completes and releases lock
(4) No lost locked transfer; no deadlock</t>
  </si>
  <si>
    <t xml:space="preserve">T3.17</t>
  </si>
  <si>
    <t xml:space="preserve">RETRY + Round-Robin Yield</t>
  </si>
  <si>
    <t xml:space="preserve">TC_L3_RETRY_RR</t>
  </si>
  <si>
    <t xml:space="preserve">M1 is RETRY’d while M2 is requesting: on HREADY=1 boundary (cycle 2 of RETRY) round-robin may switch grant to M2 — but M1 is NOT blacklisted. After M2 finishes, M1 is re-granted and retries until OKAY. (§3.9.5)</t>
  </si>
  <si>
    <t xml:space="preserve">1. M2 asserts HBUSREQ first
2. M1 writes S1; TB forces force_retry → RETRY
3. At RETRY cyc-2 (HREADY=1): arbiter hands to M2 (round-robin; eff_req_m1 still =1)
4. M2 writes S2 OKAY
5. Grant back to M1 → re-issue → TB drops force_retry → OKAY
6. Verify both masters’ data</t>
  </si>
  <si>
    <t xml:space="preserve">(1) split_mask_m1_q=0 throughout (RETRY does not mask)
(2) M2 interleaved between M1’s attempts (HMASTER 0→1→0)
(3) M1 completes write after required RETRYs
(4) Both data values correct; no contamination</t>
  </si>
  <si>
    <t xml:space="preserve">T3.18</t>
  </si>
  <si>
    <t xml:space="preserve">RETRY vs SPLIT Contrast</t>
  </si>
  <si>
    <t xml:space="preserve">TC_L3_RETRY_VS_SPLIT</t>
  </si>
  <si>
    <t xml:space="preserve">Direct A/B contrast on the same M1 (both UNLOCKED):
(A) RETRY — no mask, ordinary round-robin grant;
(B) SPLIT — M1 masked until HSPLITx.
Proves arbiter distinguishes 2’b10 from 2’b11. Mask only applies to unlocked masters.</t>
  </si>
  <si>
    <t xml:space="preserve">1. Phase A: M1 write S1 + S1.force_retry (RETRY) — log split_mask_m1_q=0; M1 re-granted immediately
2. Phase B: M1 read S1 + S1.force_split (SPLIT) — split_mask_m1_q=1; HGRANT_M1=0 though HBUSREQ=1; wait for HSPLITx
3. Compare both phases on waveform</t>
  </si>
  <si>
    <t xml:space="preserve">(1) Phase A: mask=0; M1 re-grants freely
(2) Phase B: mask=1; M1 blocked until HSPLIT_COMBINED[0]
(3) Arbiter only masks on HRESP=2’b11, never on 2’b10</t>
  </si>
  <si>
    <t xml:space="preserve">Total Test Cases</t>
  </si>
  <si>
    <t xml:space="preserve">High:</t>
  </si>
  <si>
    <t xml:space="preserve">Medium:</t>
  </si>
  <si>
    <t xml:space="preserve">Low:</t>
  </si>
  <si>
    <t xml:space="preserve">Functional Coverage Plan — Covergroups / Coverpoints / Cross / Bins</t>
  </si>
  <si>
    <t xml:space="preserve">Common sampling: @(posedge HCLK) iff (HRESETn).  ver4: SPLIT/RETRY are driven by force_split/force_retry — an extra covergroup cg_force measures the inject point, mid-burst injection and the abort beat.  Slave FSM has 6 states (ST_TIME_PASS removed): encodings 3'b110 and 3'b111 are both reserved/unused.</t>
  </si>
  <si>
    <t xml:space="preserve">Covergroup</t>
  </si>
  <si>
    <t xml:space="preserve">Coverpoint / Cross</t>
  </si>
  <si>
    <t xml:space="preserve">Signal / Expression</t>
  </si>
  <si>
    <t xml:space="preserve">Sampling Event</t>
  </si>
  <si>
    <t xml:space="preserve">Bins</t>
  </si>
  <si>
    <t xml:space="preserve">Goal</t>
  </si>
  <si>
    <t xml:space="preserve">Notes / Linked Tests</t>
  </si>
  <si>
    <t xml:space="preserve">Arbiter</t>
  </si>
  <si>
    <t xml:space="preserve">cg_arb_fsm</t>
  </si>
  <si>
    <t xml:space="preserve">cp_state</t>
  </si>
  <si>
    <t xml:space="preserve">u_arbiter.state_q</t>
  </si>
  <si>
    <t xml:space="preserve">posedge HCLK iff HRESETn</t>
  </si>
  <si>
    <t xml:space="preserve">bins ST_IDLE=2'b00; ST_GNT_M1=2'b01; ST_GNT_M2=2'b10; illegal_bins others</t>
  </si>
  <si>
    <t xml:space="preserve">100%</t>
  </si>
  <si>
    <t xml:space="preserve">Cover all 3 FSM states. T2.1, T3.1, T3.2</t>
  </si>
  <si>
    <t xml:space="preserve">cp_state_trans (transition)</t>
  </si>
  <si>
    <t xml:space="preserve">state_q</t>
  </si>
  <si>
    <t xml:space="preserve">posedge HCLK</t>
  </si>
  <si>
    <t xml:space="preserve">bins IDLE→M1; IDLE→M2; M1→M2; M2→M1; M1→IDLE; M2→IDLE</t>
  </si>
  <si>
    <t xml:space="preserve">Every FSM transition edge. T3.1–T3.4, T3.8, T3.10</t>
  </si>
  <si>
    <t xml:space="preserve">cp_grant</t>
  </si>
  <si>
    <t xml:space="preserve">{HGRANT_M1, HGRANT_M2}</t>
  </si>
  <si>
    <t xml:space="preserve">bins none=2'b00; m1=2'b10; m2=2'b01; illegal_bins both=2'b11</t>
  </si>
  <si>
    <t xml:space="preserve">2'b11 = mutual-exclusion violation (paired with assertion A1)</t>
  </si>
  <si>
    <t xml:space="preserve">cp_req</t>
  </si>
  <si>
    <t xml:space="preserve">{HBUSREQ_M1, HBUSREQ_M2}</t>
  </si>
  <si>
    <t xml:space="preserve">bins 00, 01, 10, 11 (all 4 combinations)</t>
  </si>
  <si>
    <t xml:space="preserve">Combination 11 = simultaneous contention. T3.1</t>
  </si>
  <si>
    <t xml:space="preserve">cross_req_x_state</t>
  </si>
  <si>
    <t xml:space="preserve">cp_req × cp_state</t>
  </si>
  <si>
    <t xml:space="preserve">Full cross; ignore_bins (req=00 × GNT_Mx right after the master drops its request)</t>
  </si>
  <si>
    <t xml:space="preserve">≥95%</t>
  </si>
  <si>
    <t xml:space="preserve">Checks the arbiter reacts correctly to every request scenario in each state</t>
  </si>
  <si>
    <t xml:space="preserve">cg_arb_split</t>
  </si>
  <si>
    <t xml:space="preserve">cp_split_mask_m1 / m2</t>
  </si>
  <si>
    <t xml:space="preserve">split_mask_m1_q, split_mask_m2_q</t>
  </si>
  <si>
    <t xml:space="preserve">bins clear=0; masked=1 (per mask)</t>
  </si>
  <si>
    <t xml:space="preserve">T2.13, T3.8</t>
  </si>
  <si>
    <t xml:space="preserve">cp_both_masked</t>
  </si>
  <si>
    <t xml:space="preserve">{split_mask_m1_q, split_mask_m2_q}</t>
  </si>
  <si>
    <t xml:space="preserve">bins both=2'b11</t>
  </si>
  <si>
    <t xml:space="preserve">Both masters masked → arbiter ST_IDLE. T3.10</t>
  </si>
  <si>
    <t xml:space="preserve">cp_split_confirmed</t>
  </si>
  <si>
    <t xml:space="preserve">(HRESP_S==2'b11) &amp;&amp; HREADY</t>
  </si>
  <si>
    <t xml:space="preserve">bins hit=1</t>
  </si>
  <si>
    <t xml:space="preserve">Final cycle of the SPLIT response. T1.13, T3.8</t>
  </si>
  <si>
    <t xml:space="preserve">cg_arb_misc</t>
  </si>
  <si>
    <t xml:space="preserve">cp_hmastlock</t>
  </si>
  <si>
    <t xml:space="preserve">HMASTLOCK</t>
  </si>
  <si>
    <t xml:space="preserve">bins off=0; on=1</t>
  </si>
  <si>
    <t xml:space="preserve">T3.5, T3.17</t>
  </si>
  <si>
    <t xml:space="preserve">cp_idle_force</t>
  </si>
  <si>
    <t xml:space="preserve">idle_grant_cnt</t>
  </si>
  <si>
    <t xml:space="preserve">bins cnt_0, cnt_1_3=[1:3], cnt_4_max=[4:7]</t>
  </si>
  <si>
    <t xml:space="preserve">cnt≥4 → idle_force_switch. T3.7</t>
  </si>
  <si>
    <t xml:space="preserve">cp_last_master</t>
  </si>
  <si>
    <t xml:space="preserve">last_master_q</t>
  </si>
  <si>
    <t xml:space="preserve">posedge HCLK iff (HTRANS_S!=IDLE &amp;&amp; HREADY)</t>
  </si>
  <si>
    <t xml:space="preserve">bins m1=2'd1; m2=2'd2</t>
  </si>
  <si>
    <t xml:space="preserve">Round-robin tracker updates correctly in both directions. T3.1</t>
  </si>
  <si>
    <t xml:space="preserve">cp_burst_active</t>
  </si>
  <si>
    <t xml:space="preserve">burst_active</t>
  </si>
  <si>
    <t xml:space="preserve">bins idle=0; active=1; bins fall (1=&gt;0)</t>
  </si>
  <si>
    <t xml:space="preserve">Burst protection enter/exit. T3.6</t>
  </si>
  <si>
    <t xml:space="preserve">Slave FSM</t>
  </si>
  <si>
    <t xml:space="preserve">cg_slave_fsm</t>
  </si>
  <si>
    <t xml:space="preserve">cp_ps_slave</t>
  </si>
  <si>
    <t xml:space="preserve">u_slaveX.ps_slave</t>
  </si>
  <si>
    <t xml:space="preserve">bins IDLE, ACTIVE, WBURST, RBURST, LITTLE, RETRY2(3'b010); 3'b110 &amp; 3'b111 reserved (ignore_bins) — ver4 has 6 states (ST_TIME_PASS removed); RETRY cycle-2 maps to ST_RETRY2</t>
  </si>
  <si>
    <t xml:space="preserve">RETRY cyc-1 = beat in W/RBURST, cyc-2 = ST_RETRY2. T1.13–T1.24</t>
  </si>
  <si>
    <t xml:space="preserve">cp_fsm_trans (transition)</t>
  </si>
  <si>
    <t xml:space="preserve">ps_slave</t>
  </si>
  <si>
    <t xml:space="preserve">bins IDLE→ACTIVE; ACTIVE→WBURST; ACTIVE→RBURST; WBURST→RETRY2 (force_retry); RBURST→RETRY2 (force_retry); WBURST→LITTLE (force_split); RBURST→LITTLE (force_split); LITTLE→IDLE (after HSPLITx); RETRY2→IDLE; WBURST→IDLE; RBURST→IDLE</t>
  </si>
  <si>
    <t xml:space="preserve">SPLIT/RETRY may leave from either W or RBURST (mid-burst); LITTLE always returns to IDLE in ver4. T1.13–T1.24</t>
  </si>
  <si>
    <t xml:space="preserve">cg_slave_if</t>
  </si>
  <si>
    <t xml:space="preserve">cp_htrans</t>
  </si>
  <si>
    <t xml:space="preserve">HTRANS (when HSELx &amp;&amp; HREADY_IN)</t>
  </si>
  <si>
    <t xml:space="preserve">bins IDLE=00; NONSEQ=10; SEQ=11; bins BUSY=01 (if the BFM supports it, otherwise ignore_bins + note)</t>
  </si>
  <si>
    <t xml:space="preserve">BUSY is not yet driven by the BFM — marked as an intentional hole</t>
  </si>
  <si>
    <t xml:space="preserve">cp_hburst</t>
  </si>
  <si>
    <t xml:space="preserve">local_burst</t>
  </si>
  <si>
    <t xml:space="preserve">posedge HCLK iff (ps_slave==ST_ACTIVE)</t>
  </si>
  <si>
    <t xml:space="preserve">bins SINGLE=000; INCR=001; WRAP4=010; INCR4=011; WRAP8=100; INCR8=101; WRAP16=110; INCR16=111</t>
  </si>
  <si>
    <t xml:space="preserve">WRAP8/WRAP16 need extra tests for full coverage — otherwise ignore_bins in phase 1. T1.5–T1.10</t>
  </si>
  <si>
    <t xml:space="preserve">cp_hwrite</t>
  </si>
  <si>
    <t xml:space="preserve">local_write</t>
  </si>
  <si>
    <t xml:space="preserve">bins read=0; write=1</t>
  </si>
  <si>
    <t xml:space="preserve">T1.2, T1.3</t>
  </si>
  <si>
    <t xml:space="preserve">cross_write_x_burst</t>
  </si>
  <si>
    <t xml:space="preserve">cp_hwrite × cp_hburst</t>
  </si>
  <si>
    <t xml:space="preserve">Full cross of R/W × the enabled burst types</t>
  </si>
  <si>
    <t xml:space="preserve">Every burst type must run both write and read</t>
  </si>
  <si>
    <t xml:space="preserve">cp_addr_range</t>
  </si>
  <si>
    <t xml:space="preserve">local_addr (word index)</t>
  </si>
  <si>
    <t xml:space="preserve">bins zero=0 (SPLIT trigger); low=[1:15]; mid=[16:239]; high=[240:254]; last=255</t>
  </si>
  <si>
    <t xml:space="preserve">256-word SRAM boundary. T1.4, T1.13</t>
  </si>
  <si>
    <t xml:space="preserve">cg_slave_resp</t>
  </si>
  <si>
    <t xml:space="preserve">cp_hresp_slave</t>
  </si>
  <si>
    <t xml:space="preserve">HRESP (slave)</t>
  </si>
  <si>
    <t xml:space="preserve">posedge HCLK iff HSELx</t>
  </si>
  <si>
    <t xml:space="preserve">bins OKAY=00; RETRY=10 (valid); SPLIT=11; ignore_bins ERROR=01 (a regular slave never drives ERROR — only the Default Slave does; ERROR is measured in cg_txn instead)</t>
  </si>
  <si>
    <t xml:space="preserve">RETRY is a valid bin and must hit. T1.19, T2.16</t>
  </si>
  <si>
    <t xml:space="preserve">cg_force</t>
  </si>
  <si>
    <t xml:space="preserve">cp_force_split</t>
  </si>
  <si>
    <t xml:space="preserve">force_split</t>
  </si>
  <si>
    <t xml:space="preserve">posedge HCLK iff (ps_slave inside {ST_WBURST,ST_RBURST})</t>
  </si>
  <si>
    <t xml:space="preserve">bins inactive=0; active=1</t>
  </si>
  <si>
    <t xml:space="preserve">Inject SPLIT during the data phase. T1.13, T1.22</t>
  </si>
  <si>
    <t xml:space="preserve">cp_force_retry</t>
  </si>
  <si>
    <t xml:space="preserve">force_retry</t>
  </si>
  <si>
    <t xml:space="preserve">Inject RETRY during the data phase. T1.19, T1.23</t>
  </si>
  <si>
    <t xml:space="preserve">cross_force_x_rw</t>
  </si>
  <si>
    <t xml:space="preserve">{force_split,force_retry} × local_write</t>
  </si>
  <si>
    <t xml:space="preserve">SPLIT×read, SPLIT×write, RETRY×read, RETRY×write — all 4 (illegal_bins both_force=2'b11)</t>
  </si>
  <si>
    <t xml:space="preserve">SPLIT &amp; RETRY on both read and write. T1.22, T1.23</t>
  </si>
  <si>
    <t xml:space="preserve">cross_force_x_burst</t>
  </si>
  <si>
    <t xml:space="preserve">force_split|force_retry × local_burst</t>
  </si>
  <si>
    <t xml:space="preserve">Cross with SINGLE/INCR4/WRAP4/INCR8... — covers mid-burst injection</t>
  </si>
  <si>
    <t xml:space="preserve">≥80%</t>
  </si>
  <si>
    <t xml:space="preserve">Mid-burst SPLIT/RETRY across several burst types. T1.22, T1.23</t>
  </si>
  <si>
    <t xml:space="preserve">cp_abort_beat</t>
  </si>
  <si>
    <t xml:space="preserve">beat_cnt when resp_abort=1</t>
  </si>
  <si>
    <t xml:space="preserve">bins first_beat (beat_cnt==total); mid_beat ([2:total-1]); last_beat (beat_cnt==1)</t>
  </si>
  <si>
    <t xml:space="preserve">Abort occurs at the first/middle/last beat of a burst. T1.22</t>
  </si>
  <si>
    <t xml:space="preserve">cp_hsplitx</t>
  </si>
  <si>
    <t xml:space="preserve">|HSPLITx</t>
  </si>
  <si>
    <t xml:space="preserve">bins pulse (0=&gt;1=&gt;0)</t>
  </si>
  <si>
    <t xml:space="preserve">Pulse exactly 1 cycle wide. T1.14</t>
  </si>
  <si>
    <t xml:space="preserve">Decoder</t>
  </si>
  <si>
    <t xml:space="preserve">cg_decoder</t>
  </si>
  <si>
    <t xml:space="preserve">cp_region</t>
  </si>
  <si>
    <t xml:space="preserve">HADDR_S[31:30]</t>
  </si>
  <si>
    <t xml:space="preserve">posedge HCLK iff (HTRANS_S inside {NONSEQ,SEQ})</t>
  </si>
  <si>
    <t xml:space="preserve">bins S1=00; S2=01; S3=10; DEFAULT=11</t>
  </si>
  <si>
    <t xml:space="preserve">T2.2–T2.8</t>
  </si>
  <si>
    <t xml:space="preserve">cp_hsel_onehot</t>
  </si>
  <si>
    <t xml:space="preserve">{HSEL_S1,HSEL_S2,HSEL_S3,HSEL_DEFAULT}</t>
  </si>
  <si>
    <t xml:space="preserve">bins s1=1000; s2=0100; s3=0010; def=0001; illegal_bins non_onehot</t>
  </si>
  <si>
    <t xml:space="preserve">Paired with assertion A11. T2.15</t>
  </si>
  <si>
    <t xml:space="preserve">cp_mux_sel</t>
  </si>
  <si>
    <t xml:space="preserve">MUX_SEL</t>
  </si>
  <si>
    <t xml:space="preserve">bins 00, 01, 10, 11</t>
  </si>
  <si>
    <t xml:space="preserve">T2.15 sweeps all 4 values</t>
  </si>
  <si>
    <t xml:space="preserve">cross_region_x_write</t>
  </si>
  <si>
    <t xml:space="preserve">cp_region × HWRITE_S</t>
  </si>
  <si>
    <t xml:space="preserve">8 combinations (4 regions × R/W)</t>
  </si>
  <si>
    <t xml:space="preserve">Every region must see both read and write (Default: read+write both ERROR)</t>
  </si>
  <si>
    <t xml:space="preserve">Mux Pipeline</t>
  </si>
  <si>
    <t xml:space="preserve">cg_mux_pipe</t>
  </si>
  <si>
    <t xml:space="preserve">cp_mux_sel_dp</t>
  </si>
  <si>
    <t xml:space="preserve">read_data_mux.mux_sel_data_phase</t>
  </si>
  <si>
    <t xml:space="preserve">Data-phase routing covers all 4 sources (3 slaves + default)</t>
  </si>
  <si>
    <t xml:space="preserve">cp_master_sel_dp</t>
  </si>
  <si>
    <t xml:space="preserve">write_data_mux.master_sel_data_phase</t>
  </si>
  <si>
    <t xml:space="preserve">bins m1=0; m2=1; bins toggle (0=&gt;1), (1=&gt;0)</t>
  </si>
  <si>
    <t xml:space="preserve">cp_hready</t>
  </si>
  <si>
    <t xml:space="preserve">HREADY_GLOBAL</t>
  </si>
  <si>
    <t xml:space="preserve">bins high=1; low=0; bins wait_seq (1=&gt;0=&gt;1)</t>
  </si>
  <si>
    <t xml:space="preserve">Wait-state insertion + recovery. T2.9</t>
  </si>
  <si>
    <t xml:space="preserve">cross_hready_x_sel_hold</t>
  </si>
  <si>
    <t xml:space="preserve">HREADY_GLOBAL(=0) × $stable(mux_sel_data_phase)</t>
  </si>
  <si>
    <t xml:space="preserve">bins hold_ok</t>
  </si>
  <si>
    <t xml:space="preserve">Registered mux must hold while HREADY=0 (paired with A12)</t>
  </si>
  <si>
    <t xml:space="preserve">Transaction</t>
  </si>
  <si>
    <t xml:space="preserve">cg_txn</t>
  </si>
  <si>
    <t xml:space="preserve">cross_master_x_region</t>
  </si>
  <si>
    <t xml:space="preserve">HMASTER × HADDR_S[31:30]</t>
  </si>
  <si>
    <t xml:space="preserve">posedge HCLK iff (HTRANS_S==NONSEQ)</t>
  </si>
  <si>
    <t xml:space="preserve">8 combinations: {M1,M2} × {S1,S2,S3,DEFAULT}</t>
  </si>
  <si>
    <t xml:space="preserve">Each master accesses all 4 regions. T3.14–T3.16</t>
  </si>
  <si>
    <t xml:space="preserve">cross_master_x_resp</t>
  </si>
  <si>
    <t xml:space="preserve">HMASTER × HRESP_M</t>
  </si>
  <si>
    <t xml:space="preserve">posedge HCLK iff HREADY_GLOBAL</t>
  </si>
  <si>
    <t xml:space="preserve">{M1,M2} × {OKAY, ERROR, SPLIT, RETRY} — all 8 combinations</t>
  </si>
  <si>
    <t xml:space="preserve">Each master must experience all 4 response types. T2.16, T3.20</t>
  </si>
  <si>
    <t xml:space="preserve">cross_master_x_burst</t>
  </si>
  <si>
    <t xml:space="preserve">HMASTER × HBURST_S</t>
  </si>
  <si>
    <t xml:space="preserve">{M1,M2} × the enabled burst types</t>
  </si>
  <si>
    <t xml:space="preserve">≥90%</t>
  </si>
  <si>
    <t xml:space="preserve">Phase 1 runs M2 only on SINGLE/INCR4; expand later</t>
  </si>
  <si>
    <t xml:space="preserve">cp_handover</t>
  </si>
  <si>
    <t xml:space="preserve">HMASTER transition</t>
  </si>
  <si>
    <t xml:space="preserve">bins m1_to_m2 (0=&gt;1); m2_to_m1 (1=&gt;0)</t>
  </si>
  <si>
    <t xml:space="preserve">Bidirectional handover. T3.1, T3.3</t>
  </si>
  <si>
    <t xml:space="preserve">SystemVerilog Assertions (SVA) — Protocol &amp; Design-Invariant Checks</t>
  </si>
  <si>
    <t xml:space="preserve">Bind into the top testbench or per-module. Default: assert property (@(posedge HCLK) disable iff (!HRESETn) ...). Run concurrently with every directed test to catch violations immediately. (Updated for ver4: HLOCK&gt;SPLIT lock-fix and the removed ST_TIME_PASS state.)</t>
  </si>
  <si>
    <t xml:space="preserve">Assertion Name</t>
  </si>
  <si>
    <t xml:space="preserve">Property (description)</t>
  </si>
  <si>
    <t xml:space="preserve">SVA Sketch</t>
  </si>
  <si>
    <t xml:space="preserve">Bind Module</t>
  </si>
  <si>
    <t xml:space="preserve">Severity</t>
  </si>
  <si>
    <t xml:space="preserve">A1</t>
  </si>
  <si>
    <t xml:space="preserve">a_grant_mutex</t>
  </si>
  <si>
    <t xml:space="preserve">The two grants are never asserted at the same time.</t>
  </si>
  <si>
    <t xml:space="preserve">!(HGRANT_M1 &amp;&amp; HGRANT_M2)</t>
  </si>
  <si>
    <t xml:space="preserve">AHB_Arbiter</t>
  </si>
  <si>
    <t xml:space="preserve">Error</t>
  </si>
  <si>
    <t xml:space="preserve">A2</t>
  </si>
  <si>
    <t xml:space="preserve">a_hmaster_legal</t>
  </si>
  <si>
    <t xml:space="preserve">HMASTER only takes legal values per the v2 encoding (0=M1, 1=M2).</t>
  </si>
  <si>
    <t xml:space="preserve">HMASTER inside {4'd0, 4'd1}</t>
  </si>
  <si>
    <t xml:space="preserve">A3</t>
  </si>
  <si>
    <t xml:space="preserve">a_no_handover_in_wait</t>
  </si>
  <si>
    <t xml:space="preserve">The grant does not change while HREADY=0 (no handover during a wait-state).</t>
  </si>
  <si>
    <t xml:space="preserve">!HREADY |=&gt; $stable(HGRANT_M1) &amp;&amp; $stable(HGRANT_M2)</t>
  </si>
  <si>
    <t xml:space="preserve">A4</t>
  </si>
  <si>
    <t xml:space="preserve">a_hmastlock_source</t>
  </si>
  <si>
    <t xml:space="preserve">HMASTLOCK correctly reflects the HLOCK of the currently granted master.</t>
  </si>
  <si>
    <t xml:space="preserve">(HGRANT_M1 |-&gt; HMASTLOCK == HLOCK_M1) and (HGRANT_M2 |-&gt; HMASTLOCK == HLOCK_M2)</t>
  </si>
  <si>
    <t xml:space="preserve">A5</t>
  </si>
  <si>
    <t xml:space="preserve">a_split_mask_blocks_grant</t>
  </si>
  <si>
    <t xml:space="preserve">The split-mask is only set for an UNLOCKED master. After split_confirmed for Mx (Mx unlocked), Mx is not re-granted until HSPLIT_COMBINED[bit].</t>
  </si>
  <si>
    <t xml:space="preserve">($rose(split_mask_m1_q)) |-&gt; !HGRANT_M1 throughout HSPLIT_COMBINED[0][-&gt;1]   // mask is only set when !HLOCK_M1</t>
  </si>
  <si>
    <t xml:space="preserve">A6</t>
  </si>
  <si>
    <t xml:space="preserve">a_lock_hold</t>
  </si>
  <si>
    <t xml:space="preserve">While HMASTLOCK=1 the grant must HOLD — including when a SPLIT occurs (lock &gt; split, §3.11.5).</t>
  </si>
  <si>
    <t xml:space="preserve">HMASTLOCK |=&gt; $stable(HGRANT_M1) &amp;&amp; $stable(HGRANT_M2)</t>
  </si>
  <si>
    <t xml:space="preserve">Bus Protocol</t>
  </si>
  <si>
    <t xml:space="preserve">A7</t>
  </si>
  <si>
    <t xml:space="preserve">a_addr_stable_in_wait</t>
  </si>
  <si>
    <t xml:space="preserve">Address-phase signals (HADDR/HTRANS/HWRITE/HSIZE/HBURST) hold while a transfer is stretched by a wait-state.</t>
  </si>
  <si>
    <t xml:space="preserve">(HTRANS_S != 2'b00 &amp;&amp; !HREADY_GLOBAL) |=&gt; $stable({HADDR_S,HTRANS_S,HWRITE_S,HSIZE_S,HBURST_S})</t>
  </si>
  <si>
    <t xml:space="preserve">Top (Interconnect)</t>
  </si>
  <si>
    <t xml:space="preserve">A8</t>
  </si>
  <si>
    <t xml:space="preserve">a_split_two_cycle</t>
  </si>
  <si>
    <t xml:space="preserve">A SPLIT response has the correct 2-cycle shape: (HREADY=0,SPLIT) followed by (HREADY=1,SPLIT). (IHI0011A §3.9.3)</t>
  </si>
  <si>
    <t xml:space="preserve">(HRESP==2'b11 &amp;&amp; !HREADYOUT) |=&gt; (HRESP==2'b11 &amp;&amp; HREADYOUT)</t>
  </si>
  <si>
    <t xml:space="preserve">AHB_Slave</t>
  </si>
  <si>
    <t xml:space="preserve">A9</t>
  </si>
  <si>
    <t xml:space="preserve">a_error_two_cycle</t>
  </si>
  <si>
    <t xml:space="preserve">The Default Slave's ERROR response has the correct 2-cycle shape.</t>
  </si>
  <si>
    <t xml:space="preserve">(HRESP_DEFAULT==2'b01 &amp;&amp; !HREADYOUT_DEFAULT) |=&gt; (HRESP_DEFAULT==2'b01 &amp;&amp; HREADYOUT_DEFAULT)</t>
  </si>
  <si>
    <t xml:space="preserve">AHB_Default_Slave</t>
  </si>
  <si>
    <t xml:space="preserve">A10</t>
  </si>
  <si>
    <t xml:space="preserve">a_okay_when_idle</t>
  </si>
  <si>
    <t xml:space="preserve">The data phase of an IDLE transfer must be zero-wait OKAY.</t>
  </si>
  <si>
    <t xml:space="preserve">$past(HTRANS_S)==2'b00 &amp;&amp; $past(HREADY_GLOBAL) |-&gt; (HRESP_M==2'b00 &amp;&amp; HREADY_GLOBAL)</t>
  </si>
  <si>
    <t xml:space="preserve">A11</t>
  </si>
  <si>
    <t xml:space="preserve">a_hsel_onehot</t>
  </si>
  <si>
    <t xml:space="preserve">Exactly one HSEL is asserted at every decode point.</t>
  </si>
  <si>
    <t xml:space="preserve">$onehot({HSEL_S1, HSEL_S2, HSEL_S3, HSEL_DEFAULT})</t>
  </si>
  <si>
    <t xml:space="preserve">ahb_decoder</t>
  </si>
  <si>
    <t xml:space="preserve">A12</t>
  </si>
  <si>
    <t xml:space="preserve">a_rdmux_alignment</t>
  </si>
  <si>
    <t xml:space="preserve">mux_sel_data_phase equals the previous cycle's MUX_SEL when HREADY=1; holds while HREADY=0.</t>
  </si>
  <si>
    <t xml:space="preserve">HREADY_GLOBAL |=&gt; (mux_sel_data_phase == $past(MUX_SEL));  !HREADY_GLOBAL |=&gt; $stable(mux_sel_data_phase)</t>
  </si>
  <si>
    <t xml:space="preserve">ahb_read_data_mux</t>
  </si>
  <si>
    <t xml:space="preserve">A13</t>
  </si>
  <si>
    <t xml:space="preserve">a_wdmux_alignment</t>
  </si>
  <si>
    <t xml:space="preserve">master_sel_data_phase equals the previous cycle's master select (HREADY-gated) — HWDATA aligns with the Data Phase.</t>
  </si>
  <si>
    <t xml:space="preserve">HREADY_GLOBAL |=&gt; (master_sel_data_phase == $past(HMASTER[0]))</t>
  </si>
  <si>
    <t xml:space="preserve">ahb_write_data_mux</t>
  </si>
  <si>
    <t xml:space="preserve">Slave</t>
  </si>
  <si>
    <t xml:space="preserve">A14</t>
  </si>
  <si>
    <t xml:space="preserve">a_mem_write_only_wburst</t>
  </si>
  <si>
    <t xml:space="preserve">Memory is only written in ST_WBURST.</t>
  </si>
  <si>
    <t xml:space="preserve">Checked by an internal coverage/assertion: ps_slave != ST_WBURST |=&gt; $stable(memory_slave[local_addr]) (bound inside the slave)</t>
  </si>
  <si>
    <t xml:space="preserve">Warning</t>
  </si>
  <si>
    <t xml:space="preserve">A15</t>
  </si>
  <si>
    <t xml:space="preserve">a_hsplit_one_cycle</t>
  </si>
  <si>
    <t xml:space="preserve">The HSPLITx pulse is exactly 1 cycle wide.</t>
  </si>
  <si>
    <t xml:space="preserve">$rose(|HSPLITx) |=&gt; !(|HSPLITx)</t>
  </si>
  <si>
    <t xml:space="preserve">A18</t>
  </si>
  <si>
    <t xml:space="preserve">a_retry_two_cycle</t>
  </si>
  <si>
    <t xml:space="preserve">A RETRY response has the correct 2-cycle shape: (HREADY=0, RETRY) followed by (HREADY=1, RETRY) — like ERROR/SPLIT per IHI0011A §3.9.3.</t>
  </si>
  <si>
    <t xml:space="preserve">(HRESP==2'b10 &amp;&amp; !HREADYOUT) |=&gt; (HRESP==2'b10 &amp;&amp; HREADYOUT)</t>
  </si>
  <si>
    <t xml:space="preserve">A21</t>
  </si>
  <si>
    <t xml:space="preserve">a_retry_no_hsplit</t>
  </si>
  <si>
    <t xml:space="preserve">On the RETRY path, HSPLITx is never asserted and split_master_reg never latches (distinct from SPLIT).</t>
  </si>
  <si>
    <t xml:space="preserve">((HRESP==2'b10) || (ps_slave==ST_RETRY2)) |-&gt; (!(|HSPLITx) &amp;&amp; $stable(split_master_reg))</t>
  </si>
  <si>
    <t xml:space="preserve">A22</t>
  </si>
  <si>
    <t xml:space="preserve">a_force_mutex</t>
  </si>
  <si>
    <t xml:space="preserve">force_split and force_retry are never both =1 (mutual-exclusion test hook).</t>
  </si>
  <si>
    <t xml:space="preserve">!(force_split &amp;&amp; force_retry)</t>
  </si>
  <si>
    <t xml:space="preserve">A23</t>
  </si>
  <si>
    <t xml:space="preserve">a_abort_no_commit</t>
  </si>
  <si>
    <t xml:space="preserve">An UNLOCKED beat aborted by SPLIT/RETRY is not written to SRAM and does not advance the address/beat_cnt. Under HMASTLOCK the force_* are suppressed (ver4), so the locked beat DOES commit — hence the !HMASTLOCK guard.</t>
  </si>
  <si>
    <t xml:space="preserve">((ps_slave==ST_WBURST) &amp;&amp; (force_split||force_retry) &amp;&amp; !HMASTLOCK) |=&gt; ($stable(memory_slave[$past(local_addr)]) &amp;&amp; $stable(beat_cnt))</t>
  </si>
  <si>
    <t xml:space="preserve">A24</t>
  </si>
  <si>
    <t xml:space="preserve">a_split_any_addr</t>
  </si>
  <si>
    <t xml:space="preserve">SPLIT may be issued at any address (ver4): when force_split occurs in W/RBURST while UNLOCKED → HRESP=SPLIT regardless of local_addr. Under HMASTLOCK the slave suppresses SPLIT, hence the !HMASTLOCK guard.</t>
  </si>
  <si>
    <t xml:space="preserve">((ps_slave inside {ST_WBURST,ST_RBURST}) &amp;&amp; force_split &amp;&amp; !HMASTLOCK) |-&gt; (HRESP==2'b11 &amp;&amp; !HREADYOUT)</t>
  </si>
  <si>
    <t xml:space="preserve">A19</t>
  </si>
  <si>
    <t xml:space="preserve">a_lock_no_split_retry</t>
  </si>
  <si>
    <t xml:space="preserve">While HMASTLOCK=1 the ver4 slave never issues SPLIT or RETRY and never asserts HSPLITx — the locked transfer is always completed (replaces the obsolete a_lock_holds_split_release, which referenced the removed ST_TIME_PASS state; IHI0011A §3.12.3).</t>
  </si>
  <si>
    <t xml:space="preserve">HMASTLOCK |-&gt; (HRESP != 2'b11 &amp;&amp; HRESP != 2'b10 &amp;&amp; !(|HSPLITx))</t>
  </si>
  <si>
    <t xml:space="preserve">A20</t>
  </si>
  <si>
    <t xml:space="preserve">a_retry_no_mask</t>
  </si>
  <si>
    <t xml:space="preserve">A completed RETRY response (HRESP=2'b10, HREADY=1) must NOT set any master's split mask — the arbiter only masks on SPLIT (2'b11). (§3.9.5)</t>
  </si>
  <si>
    <t xml:space="preserve">((HRESP_S==2'b10) &amp;&amp; HREADY) |=&gt; $stable(split_mask_m1_q) &amp;&amp; $stable(split_mask_m2_q)</t>
  </si>
  <si>
    <t xml:space="preserve">Global</t>
  </si>
  <si>
    <t xml:space="preserve">A16</t>
  </si>
  <si>
    <t xml:space="preserve">a_no_x_on_bus</t>
  </si>
  <si>
    <t xml:space="preserve">No X/Z on the critical bus signals while a transfer is active.</t>
  </si>
  <si>
    <t xml:space="preserve">(HTRANS_S != 2'b00) |-&gt; (!$isunknown({HADDR_S,HWRITE_S,HRESP_M,HREADY_GLOBAL}))</t>
  </si>
  <si>
    <t xml:space="preserve">A17</t>
  </si>
  <si>
    <t xml:space="preserve">a_reset_values</t>
  </si>
  <si>
    <t xml:space="preserve">After reset: grants=0, HMASTER=0, HRESP=OKAY, HREADY=1.</t>
  </si>
  <si>
    <t xml:space="preserve">$rose(HRESETn) |-&gt; (!HGRANT_M1 &amp;&amp; !HGRANT_M2 &amp;&amp; HMASTER==4'd0 &amp;&amp; HREADY_GLOBAL)</t>
  </si>
  <si>
    <t xml:space="preserve">A25</t>
  </si>
  <si>
    <t xml:space="preserve">a_lock_over_split</t>
  </si>
  <si>
    <t xml:space="preserve">When HMASTLOCK=1 and split_confirmed occur together: the grant does NOT change and the locked master's split_mask is NOT set (HLOCK &gt; SPLIT, §3.11.5).</t>
  </si>
  <si>
    <t xml:space="preserve">(HMASTLOCK &amp;&amp; split_confirmed) |=&gt; ($stable(HGRANT_M1) &amp;&amp; $stable(HGRANT_M2) &amp;&amp; ((state_q==ST_GNT_M1) ? (split_mask_m1_q==1'b0) : (split_mask_m2_q==1'b0)))</t>
  </si>
  <si>
    <t xml:space="preserve">Phase 2 — Constrained-Random Test Plan (only after 100% directed tests PASS and coverage holes are analyzed)</t>
  </si>
  <si>
    <t xml:space="preserve">Goal: close the remaining coverage holes after the directed tests (especially cross bins that are hard to hit by hand). Requires: a memory reference model + a scoreboard that automatically compares read/write.</t>
  </si>
  <si>
    <t xml:space="preserve">Randomized Fields</t>
  </si>
  <si>
    <t xml:space="preserve">Constraints</t>
  </si>
  <si>
    <t xml:space="preserve">Checker / Scoreboard</t>
  </si>
  <si>
    <t xml:space="preserve">Coverage Target</t>
  </si>
  <si>
    <t xml:space="preserve">R1</t>
  </si>
  <si>
    <t xml:space="preserve">TC_RND_SINGLE_MIX</t>
  </si>
  <si>
    <t xml:space="preserve">addr, hwrite, wdata, master_id</t>
  </si>
  <si>
    <t xml:space="preserve">addr inside the legal S1–S3 regions; addr[9:2] != 0 (avoid unintended SPLIT); word-aligned</t>
  </si>
  <si>
    <t xml:space="preserve">Per-slave reference memory model; compare every read against the model</t>
  </si>
  <si>
    <t xml:space="preserve">cross_master_x_region, cp_addr_range</t>
  </si>
  <si>
    <t xml:space="preserve">R2</t>
  </si>
  <si>
    <t xml:space="preserve">TC_RND_BURST_MIX</t>
  </si>
  <si>
    <t xml:space="preserve">hburst (SINGLE/INCR4/8/16/WRAP4), base addr, hwrite</t>
  </si>
  <si>
    <t xml:space="preserve">Burst must not cross the 256-word boundary; base aligned to the wrap size for WRAP</t>
  </si>
  <si>
    <t xml:space="preserve">Scoreboard compares each beat; checker verifies wrap addresses</t>
  </si>
  <si>
    <t xml:space="preserve">cross_write_x_burst, cp_hburst (including WRAP8/16 if enabled)</t>
  </si>
  <si>
    <t xml:space="preserve">R3</t>
  </si>
  <si>
    <t xml:space="preserve">TC_RND_DUAL_MASTER</t>
  </si>
  <si>
    <t xml:space="preserve">M1/M2 request order, request spacing (0–8 cycles), random HLOCK</t>
  </si>
  <si>
    <t xml:space="preserve">P(HLOCK)=10%; each master up to 20 transfers; no-deadlock watchdog 50us</t>
  </si>
  <si>
    <t xml:space="preserve">Independent scoreboard per master; checker for grant mutex (A1) + round-robin fairness counter</t>
  </si>
  <si>
    <t xml:space="preserve">cross_req_x_state, cp_handover, cp_idle_force</t>
  </si>
  <si>
    <t xml:space="preserve">R4</t>
  </si>
  <si>
    <t xml:space="preserve">TC_RND_SPLIT_INJECT</t>
  </si>
  <si>
    <t xml:space="preserve">random read at addr 0 (SPLIT trigger) interleaved into normal traffic</t>
  </si>
  <si>
    <t xml:space="preserve">P(split)=15%; only 1 split outstanding per master</t>
  </si>
  <si>
    <t xml:space="preserve">Checker for mask/unmask per A5; verify retry data integrity</t>
  </si>
  <si>
    <t xml:space="preserve">cp_split_mask, cp_both_masked, cross_master_x_resp</t>
  </si>
  <si>
    <t xml:space="preserve">R5</t>
  </si>
  <si>
    <t xml:space="preserve">TC_RND_ERR_REGION</t>
  </si>
  <si>
    <t xml:space="preserve">random addr across all 4 regions including 0xC000_0000+</t>
  </si>
  <si>
    <t xml:space="preserve">20% of addresses fall in the Default region</t>
  </si>
  <si>
    <t xml:space="preserve">Checker: the default region always ERRORs 2-cycle; legal regions always OKAY/SPLIT</t>
  </si>
  <si>
    <t xml:space="preserve">cross_region_x_write, cross_master_x_resp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</si>
</sst>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BF8F00"/>
      <name val="Arial"/>
      <family val="0"/>
      <charset val="1"/>
    </font>
    <font>
      <sz val="10"/>
      <color rgb="FF548235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55"/>
    <col collapsed="false" customWidth="true" hidden="false" outlineLevel="0" max="7" min="7" style="0" width="42"/>
    <col collapsed="false" customWidth="true" hidden="false" outlineLevel="0" max="8" min="8" style="0" width="9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3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66" hidden="false" customHeight="true" outlineLevel="0" collapsed="false">
      <c r="A4" s="4" t="s">
        <v>10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7" t="s">
        <v>17</v>
      </c>
    </row>
    <row r="5" customFormat="false" ht="79.85" hidden="false" customHeight="false" outlineLevel="0" collapsed="false">
      <c r="A5" s="4"/>
      <c r="B5" s="5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7" t="s">
        <v>17</v>
      </c>
    </row>
    <row r="6" customFormat="false" ht="57.45" hidden="false" customHeight="false" outlineLevel="0" collapsed="false">
      <c r="A6" s="4"/>
      <c r="B6" s="5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7" t="s">
        <v>17</v>
      </c>
    </row>
    <row r="7" customFormat="false" ht="79.85" hidden="false" customHeight="false" outlineLevel="0" collapsed="false">
      <c r="A7" s="4"/>
      <c r="B7" s="5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7" t="s">
        <v>17</v>
      </c>
    </row>
    <row r="8" customFormat="false" ht="57.45" hidden="false" customHeight="false" outlineLevel="0" collapsed="false">
      <c r="A8" s="4"/>
      <c r="B8" s="5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8" t="s">
        <v>42</v>
      </c>
    </row>
    <row r="9" customFormat="false" ht="46.25" hidden="false" customHeight="false" outlineLevel="0" collapsed="false">
      <c r="A9" s="4"/>
      <c r="B9" s="5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8" t="s">
        <v>42</v>
      </c>
    </row>
    <row r="10" customFormat="false" ht="46.25" hidden="false" customHeight="false" outlineLevel="0" collapsed="false">
      <c r="A10" s="4"/>
      <c r="B10" s="5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8" t="s">
        <v>42</v>
      </c>
    </row>
    <row r="11" customFormat="false" ht="79.85" hidden="false" customHeight="false" outlineLevel="0" collapsed="false">
      <c r="A11" s="4"/>
      <c r="B11" s="5" t="s">
        <v>55</v>
      </c>
      <c r="C11" s="6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7" t="s">
        <v>17</v>
      </c>
    </row>
    <row r="12" customFormat="false" ht="113.4" hidden="false" customHeight="false" outlineLevel="0" collapsed="false">
      <c r="A12" s="4"/>
      <c r="B12" s="5" t="s">
        <v>61</v>
      </c>
      <c r="C12" s="6" t="s">
        <v>62</v>
      </c>
      <c r="D12" s="6" t="s">
        <v>63</v>
      </c>
      <c r="E12" s="6" t="s">
        <v>64</v>
      </c>
      <c r="F12" s="6" t="s">
        <v>65</v>
      </c>
      <c r="G12" s="6" t="s">
        <v>66</v>
      </c>
      <c r="H12" s="7" t="s">
        <v>17</v>
      </c>
    </row>
    <row r="13" customFormat="false" ht="57.45" hidden="false" customHeight="false" outlineLevel="0" collapsed="false">
      <c r="A13" s="4"/>
      <c r="B13" s="5" t="s">
        <v>67</v>
      </c>
      <c r="C13" s="6" t="s">
        <v>68</v>
      </c>
      <c r="D13" s="6" t="s">
        <v>69</v>
      </c>
      <c r="E13" s="6" t="s">
        <v>70</v>
      </c>
      <c r="F13" s="6" t="s">
        <v>71</v>
      </c>
      <c r="G13" s="6" t="s">
        <v>72</v>
      </c>
      <c r="H13" s="8" t="s">
        <v>42</v>
      </c>
    </row>
    <row r="14" customFormat="false" ht="68.65" hidden="false" customHeight="false" outlineLevel="0" collapsed="false">
      <c r="A14" s="4"/>
      <c r="B14" s="5" t="s">
        <v>73</v>
      </c>
      <c r="C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  <c r="H14" s="8" t="s">
        <v>42</v>
      </c>
    </row>
    <row r="15" customFormat="false" ht="46.25" hidden="false" customHeight="false" outlineLevel="0" collapsed="false">
      <c r="A15" s="4"/>
      <c r="B15" s="5" t="s">
        <v>79</v>
      </c>
      <c r="C15" s="6" t="s">
        <v>80</v>
      </c>
      <c r="D15" s="6" t="s">
        <v>81</v>
      </c>
      <c r="E15" s="6" t="s">
        <v>82</v>
      </c>
      <c r="F15" s="6" t="s">
        <v>83</v>
      </c>
      <c r="G15" s="6" t="s">
        <v>84</v>
      </c>
      <c r="H15" s="8" t="s">
        <v>42</v>
      </c>
    </row>
    <row r="16" customFormat="false" ht="68.65" hidden="false" customHeight="false" outlineLevel="0" collapsed="false">
      <c r="A16" s="4"/>
      <c r="B16" s="5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6" t="s">
        <v>90</v>
      </c>
      <c r="H16" s="7" t="s">
        <v>17</v>
      </c>
    </row>
    <row r="17" customFormat="false" ht="57.45" hidden="false" customHeight="false" outlineLevel="0" collapsed="false">
      <c r="A17" s="4"/>
      <c r="B17" s="5" t="s">
        <v>91</v>
      </c>
      <c r="C17" s="6" t="s">
        <v>92</v>
      </c>
      <c r="D17" s="6" t="s">
        <v>93</v>
      </c>
      <c r="E17" s="6" t="s">
        <v>94</v>
      </c>
      <c r="F17" s="6" t="s">
        <v>95</v>
      </c>
      <c r="G17" s="6" t="s">
        <v>96</v>
      </c>
      <c r="H17" s="7" t="s">
        <v>17</v>
      </c>
    </row>
    <row r="18" customFormat="false" ht="68.65" hidden="false" customHeight="false" outlineLevel="0" collapsed="false">
      <c r="A18" s="4"/>
      <c r="B18" s="5" t="s">
        <v>97</v>
      </c>
      <c r="C18" s="6" t="s">
        <v>98</v>
      </c>
      <c r="D18" s="6" t="s">
        <v>99</v>
      </c>
      <c r="E18" s="6" t="s">
        <v>100</v>
      </c>
      <c r="F18" s="6" t="s">
        <v>101</v>
      </c>
      <c r="G18" s="6" t="s">
        <v>102</v>
      </c>
      <c r="H18" s="8" t="s">
        <v>42</v>
      </c>
    </row>
    <row r="19" customFormat="false" ht="68.65" hidden="false" customHeight="false" outlineLevel="0" collapsed="false">
      <c r="A19" s="4"/>
      <c r="B19" s="5" t="s">
        <v>103</v>
      </c>
      <c r="C19" s="6" t="s">
        <v>104</v>
      </c>
      <c r="D19" s="6" t="s">
        <v>105</v>
      </c>
      <c r="E19" s="6" t="s">
        <v>106</v>
      </c>
      <c r="F19" s="6" t="s">
        <v>107</v>
      </c>
      <c r="G19" s="6" t="s">
        <v>108</v>
      </c>
      <c r="H19" s="7" t="s">
        <v>17</v>
      </c>
    </row>
    <row r="20" customFormat="false" ht="57.45" hidden="false" customHeight="false" outlineLevel="0" collapsed="false">
      <c r="A20" s="4"/>
      <c r="B20" s="5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114</v>
      </c>
      <c r="H20" s="8" t="s">
        <v>42</v>
      </c>
    </row>
    <row r="21" customFormat="false" ht="46.25" hidden="false" customHeight="false" outlineLevel="0" collapsed="false">
      <c r="A21" s="4"/>
      <c r="B21" s="5" t="s">
        <v>115</v>
      </c>
      <c r="C21" s="6" t="s">
        <v>116</v>
      </c>
      <c r="D21" s="6" t="s">
        <v>117</v>
      </c>
      <c r="E21" s="6" t="s">
        <v>118</v>
      </c>
      <c r="F21" s="6" t="s">
        <v>119</v>
      </c>
      <c r="G21" s="6" t="s">
        <v>120</v>
      </c>
      <c r="H21" s="9" t="s">
        <v>121</v>
      </c>
    </row>
    <row r="22" customFormat="false" ht="46.25" hidden="false" customHeight="true" outlineLevel="0" collapsed="false">
      <c r="A22" s="10" t="s">
        <v>122</v>
      </c>
      <c r="B22" s="5" t="s">
        <v>123</v>
      </c>
      <c r="C22" s="6" t="s">
        <v>124</v>
      </c>
      <c r="D22" s="6" t="s">
        <v>125</v>
      </c>
      <c r="E22" s="6" t="s">
        <v>126</v>
      </c>
      <c r="F22" s="6" t="s">
        <v>127</v>
      </c>
      <c r="G22" s="6" t="s">
        <v>128</v>
      </c>
      <c r="H22" s="7" t="s">
        <v>17</v>
      </c>
    </row>
    <row r="23" customFormat="false" ht="91" hidden="false" customHeight="false" outlineLevel="0" collapsed="false">
      <c r="A23" s="10"/>
      <c r="B23" s="5" t="s">
        <v>129</v>
      </c>
      <c r="C23" s="6" t="s">
        <v>130</v>
      </c>
      <c r="D23" s="6" t="s">
        <v>131</v>
      </c>
      <c r="E23" s="6" t="s">
        <v>132</v>
      </c>
      <c r="F23" s="6" t="s">
        <v>133</v>
      </c>
      <c r="G23" s="6" t="s">
        <v>134</v>
      </c>
      <c r="H23" s="7" t="s">
        <v>17</v>
      </c>
    </row>
    <row r="24" customFormat="false" ht="68.65" hidden="false" customHeight="false" outlineLevel="0" collapsed="false">
      <c r="A24" s="10"/>
      <c r="B24" s="5" t="s">
        <v>135</v>
      </c>
      <c r="C24" s="6" t="s">
        <v>136</v>
      </c>
      <c r="D24" s="6" t="s">
        <v>137</v>
      </c>
      <c r="E24" s="6" t="s">
        <v>138</v>
      </c>
      <c r="F24" s="6" t="s">
        <v>139</v>
      </c>
      <c r="G24" s="6" t="s">
        <v>140</v>
      </c>
      <c r="H24" s="7" t="s">
        <v>17</v>
      </c>
    </row>
    <row r="25" customFormat="false" ht="91" hidden="false" customHeight="false" outlineLevel="0" collapsed="false">
      <c r="A25" s="10"/>
      <c r="B25" s="5" t="s">
        <v>141</v>
      </c>
      <c r="C25" s="6" t="s">
        <v>142</v>
      </c>
      <c r="D25" s="6" t="s">
        <v>143</v>
      </c>
      <c r="E25" s="6" t="s">
        <v>144</v>
      </c>
      <c r="F25" s="6" t="s">
        <v>145</v>
      </c>
      <c r="G25" s="6" t="s">
        <v>146</v>
      </c>
      <c r="H25" s="7" t="s">
        <v>17</v>
      </c>
    </row>
    <row r="26" customFormat="false" ht="57.45" hidden="false" customHeight="false" outlineLevel="0" collapsed="false">
      <c r="A26" s="10"/>
      <c r="B26" s="5" t="s">
        <v>147</v>
      </c>
      <c r="C26" s="6" t="s">
        <v>148</v>
      </c>
      <c r="D26" s="6" t="s">
        <v>149</v>
      </c>
      <c r="E26" s="6" t="s">
        <v>150</v>
      </c>
      <c r="F26" s="6" t="s">
        <v>151</v>
      </c>
      <c r="G26" s="6" t="s">
        <v>152</v>
      </c>
      <c r="H26" s="8" t="s">
        <v>42</v>
      </c>
    </row>
    <row r="27" customFormat="false" ht="57.45" hidden="false" customHeight="false" outlineLevel="0" collapsed="false">
      <c r="A27" s="10"/>
      <c r="B27" s="5" t="s">
        <v>153</v>
      </c>
      <c r="C27" s="6" t="s">
        <v>154</v>
      </c>
      <c r="D27" s="6" t="s">
        <v>155</v>
      </c>
      <c r="E27" s="6" t="s">
        <v>156</v>
      </c>
      <c r="F27" s="6" t="s">
        <v>157</v>
      </c>
      <c r="G27" s="6" t="s">
        <v>158</v>
      </c>
      <c r="H27" s="7" t="s">
        <v>17</v>
      </c>
    </row>
    <row r="28" customFormat="false" ht="46.25" hidden="false" customHeight="false" outlineLevel="0" collapsed="false">
      <c r="A28" s="10"/>
      <c r="B28" s="5" t="s">
        <v>159</v>
      </c>
      <c r="C28" s="6" t="s">
        <v>160</v>
      </c>
      <c r="D28" s="6" t="s">
        <v>161</v>
      </c>
      <c r="E28" s="6" t="s">
        <v>162</v>
      </c>
      <c r="F28" s="6" t="s">
        <v>163</v>
      </c>
      <c r="G28" s="6" t="s">
        <v>164</v>
      </c>
      <c r="H28" s="8" t="s">
        <v>42</v>
      </c>
    </row>
    <row r="29" customFormat="false" ht="68.65" hidden="false" customHeight="false" outlineLevel="0" collapsed="false">
      <c r="A29" s="10"/>
      <c r="B29" s="5" t="s">
        <v>165</v>
      </c>
      <c r="C29" s="6" t="s">
        <v>166</v>
      </c>
      <c r="D29" s="6" t="s">
        <v>167</v>
      </c>
      <c r="E29" s="6" t="s">
        <v>168</v>
      </c>
      <c r="F29" s="6" t="s">
        <v>169</v>
      </c>
      <c r="G29" s="6" t="s">
        <v>170</v>
      </c>
      <c r="H29" s="7" t="s">
        <v>17</v>
      </c>
    </row>
    <row r="30" customFormat="false" ht="57.45" hidden="false" customHeight="false" outlineLevel="0" collapsed="false">
      <c r="A30" s="10"/>
      <c r="B30" s="5" t="s">
        <v>171</v>
      </c>
      <c r="C30" s="6" t="s">
        <v>172</v>
      </c>
      <c r="D30" s="6" t="s">
        <v>173</v>
      </c>
      <c r="E30" s="6" t="s">
        <v>174</v>
      </c>
      <c r="F30" s="6" t="s">
        <v>175</v>
      </c>
      <c r="G30" s="6" t="s">
        <v>176</v>
      </c>
      <c r="H30" s="7" t="s">
        <v>17</v>
      </c>
    </row>
    <row r="31" customFormat="false" ht="35.05" hidden="false" customHeight="false" outlineLevel="0" collapsed="false">
      <c r="A31" s="10"/>
      <c r="B31" s="5" t="s">
        <v>177</v>
      </c>
      <c r="C31" s="6" t="s">
        <v>178</v>
      </c>
      <c r="D31" s="6" t="s">
        <v>179</v>
      </c>
      <c r="E31" s="6" t="s">
        <v>180</v>
      </c>
      <c r="F31" s="6" t="s">
        <v>181</v>
      </c>
      <c r="G31" s="6" t="s">
        <v>182</v>
      </c>
      <c r="H31" s="8" t="s">
        <v>42</v>
      </c>
    </row>
    <row r="32" customFormat="false" ht="57.45" hidden="false" customHeight="false" outlineLevel="0" collapsed="false">
      <c r="A32" s="10"/>
      <c r="B32" s="5" t="s">
        <v>183</v>
      </c>
      <c r="C32" s="6" t="s">
        <v>184</v>
      </c>
      <c r="D32" s="6" t="s">
        <v>185</v>
      </c>
      <c r="E32" s="6" t="s">
        <v>186</v>
      </c>
      <c r="F32" s="6" t="s">
        <v>187</v>
      </c>
      <c r="G32" s="6" t="s">
        <v>188</v>
      </c>
      <c r="H32" s="8" t="s">
        <v>42</v>
      </c>
    </row>
    <row r="33" customFormat="false" ht="68.65" hidden="false" customHeight="false" outlineLevel="0" collapsed="false">
      <c r="A33" s="10"/>
      <c r="B33" s="5" t="s">
        <v>189</v>
      </c>
      <c r="C33" s="6" t="s">
        <v>190</v>
      </c>
      <c r="D33" s="6" t="s">
        <v>191</v>
      </c>
      <c r="E33" s="6" t="s">
        <v>192</v>
      </c>
      <c r="F33" s="6" t="s">
        <v>193</v>
      </c>
      <c r="G33" s="6" t="s">
        <v>194</v>
      </c>
      <c r="H33" s="7" t="s">
        <v>17</v>
      </c>
    </row>
    <row r="34" customFormat="false" ht="79.85" hidden="false" customHeight="false" outlineLevel="0" collapsed="false">
      <c r="A34" s="10"/>
      <c r="B34" s="5" t="s">
        <v>195</v>
      </c>
      <c r="C34" s="6" t="s">
        <v>196</v>
      </c>
      <c r="D34" s="6" t="s">
        <v>197</v>
      </c>
      <c r="E34" s="6" t="s">
        <v>198</v>
      </c>
      <c r="F34" s="6" t="s">
        <v>199</v>
      </c>
      <c r="G34" s="6" t="s">
        <v>200</v>
      </c>
      <c r="H34" s="8" t="s">
        <v>42</v>
      </c>
    </row>
    <row r="35" customFormat="false" ht="57.45" hidden="false" customHeight="true" outlineLevel="0" collapsed="false">
      <c r="A35" s="11" t="s">
        <v>201</v>
      </c>
      <c r="B35" s="5" t="s">
        <v>202</v>
      </c>
      <c r="C35" s="6" t="s">
        <v>203</v>
      </c>
      <c r="D35" s="6" t="s">
        <v>204</v>
      </c>
      <c r="E35" s="6" t="s">
        <v>205</v>
      </c>
      <c r="F35" s="6" t="s">
        <v>206</v>
      </c>
      <c r="G35" s="6" t="s">
        <v>207</v>
      </c>
      <c r="H35" s="7" t="s">
        <v>17</v>
      </c>
    </row>
    <row r="36" customFormat="false" ht="46.25" hidden="false" customHeight="false" outlineLevel="0" collapsed="false">
      <c r="A36" s="11"/>
      <c r="B36" s="5" t="s">
        <v>208</v>
      </c>
      <c r="C36" s="6" t="s">
        <v>209</v>
      </c>
      <c r="D36" s="6" t="s">
        <v>210</v>
      </c>
      <c r="E36" s="6" t="s">
        <v>211</v>
      </c>
      <c r="F36" s="6" t="s">
        <v>212</v>
      </c>
      <c r="G36" s="6" t="s">
        <v>213</v>
      </c>
      <c r="H36" s="8" t="s">
        <v>42</v>
      </c>
    </row>
    <row r="37" customFormat="false" ht="57.45" hidden="false" customHeight="false" outlineLevel="0" collapsed="false">
      <c r="A37" s="11"/>
      <c r="B37" s="5" t="s">
        <v>214</v>
      </c>
      <c r="C37" s="6" t="s">
        <v>215</v>
      </c>
      <c r="D37" s="6" t="s">
        <v>216</v>
      </c>
      <c r="E37" s="6" t="s">
        <v>217</v>
      </c>
      <c r="F37" s="6" t="s">
        <v>218</v>
      </c>
      <c r="G37" s="6" t="s">
        <v>219</v>
      </c>
      <c r="H37" s="7" t="s">
        <v>17</v>
      </c>
    </row>
    <row r="38" customFormat="false" ht="46.25" hidden="false" customHeight="false" outlineLevel="0" collapsed="false">
      <c r="A38" s="11"/>
      <c r="B38" s="5" t="s">
        <v>220</v>
      </c>
      <c r="C38" s="6" t="s">
        <v>221</v>
      </c>
      <c r="D38" s="6" t="s">
        <v>222</v>
      </c>
      <c r="E38" s="6" t="s">
        <v>223</v>
      </c>
      <c r="F38" s="6" t="s">
        <v>224</v>
      </c>
      <c r="G38" s="6" t="s">
        <v>225</v>
      </c>
      <c r="H38" s="7" t="s">
        <v>17</v>
      </c>
    </row>
    <row r="39" customFormat="false" ht="68.65" hidden="false" customHeight="false" outlineLevel="0" collapsed="false">
      <c r="A39" s="11"/>
      <c r="B39" s="5" t="s">
        <v>226</v>
      </c>
      <c r="C39" s="6" t="s">
        <v>227</v>
      </c>
      <c r="D39" s="6" t="s">
        <v>228</v>
      </c>
      <c r="E39" s="6" t="s">
        <v>229</v>
      </c>
      <c r="F39" s="6" t="s">
        <v>230</v>
      </c>
      <c r="G39" s="6" t="s">
        <v>231</v>
      </c>
      <c r="H39" s="7" t="s">
        <v>17</v>
      </c>
    </row>
    <row r="40" customFormat="false" ht="46.25" hidden="false" customHeight="false" outlineLevel="0" collapsed="false">
      <c r="A40" s="11"/>
      <c r="B40" s="5" t="s">
        <v>232</v>
      </c>
      <c r="C40" s="6" t="s">
        <v>233</v>
      </c>
      <c r="D40" s="6" t="s">
        <v>234</v>
      </c>
      <c r="E40" s="6" t="s">
        <v>235</v>
      </c>
      <c r="F40" s="6" t="s">
        <v>236</v>
      </c>
      <c r="G40" s="6" t="s">
        <v>237</v>
      </c>
      <c r="H40" s="7" t="s">
        <v>17</v>
      </c>
    </row>
    <row r="41" customFormat="false" ht="57.45" hidden="false" customHeight="false" outlineLevel="0" collapsed="false">
      <c r="A41" s="11"/>
      <c r="B41" s="5" t="s">
        <v>238</v>
      </c>
      <c r="C41" s="6" t="s">
        <v>239</v>
      </c>
      <c r="D41" s="6" t="s">
        <v>240</v>
      </c>
      <c r="E41" s="6" t="s">
        <v>241</v>
      </c>
      <c r="F41" s="6" t="s">
        <v>242</v>
      </c>
      <c r="G41" s="6" t="s">
        <v>243</v>
      </c>
      <c r="H41" s="8" t="s">
        <v>42</v>
      </c>
    </row>
    <row r="42" customFormat="false" ht="68.65" hidden="false" customHeight="false" outlineLevel="0" collapsed="false">
      <c r="A42" s="11"/>
      <c r="B42" s="5" t="s">
        <v>244</v>
      </c>
      <c r="C42" s="6" t="s">
        <v>245</v>
      </c>
      <c r="D42" s="6" t="s">
        <v>246</v>
      </c>
      <c r="E42" s="6" t="s">
        <v>247</v>
      </c>
      <c r="F42" s="6" t="s">
        <v>248</v>
      </c>
      <c r="G42" s="6" t="s">
        <v>249</v>
      </c>
      <c r="H42" s="7" t="s">
        <v>17</v>
      </c>
    </row>
    <row r="43" customFormat="false" ht="46.25" hidden="false" customHeight="false" outlineLevel="0" collapsed="false">
      <c r="A43" s="11"/>
      <c r="B43" s="5" t="s">
        <v>250</v>
      </c>
      <c r="C43" s="6" t="s">
        <v>251</v>
      </c>
      <c r="D43" s="6" t="s">
        <v>252</v>
      </c>
      <c r="E43" s="6" t="s">
        <v>253</v>
      </c>
      <c r="F43" s="6" t="s">
        <v>254</v>
      </c>
      <c r="G43" s="6" t="s">
        <v>255</v>
      </c>
      <c r="H43" s="8" t="s">
        <v>42</v>
      </c>
    </row>
    <row r="44" customFormat="false" ht="46.25" hidden="false" customHeight="false" outlineLevel="0" collapsed="false">
      <c r="A44" s="11"/>
      <c r="B44" s="5" t="s">
        <v>256</v>
      </c>
      <c r="C44" s="6" t="s">
        <v>257</v>
      </c>
      <c r="D44" s="6" t="s">
        <v>258</v>
      </c>
      <c r="E44" s="6" t="s">
        <v>259</v>
      </c>
      <c r="F44" s="6" t="s">
        <v>260</v>
      </c>
      <c r="G44" s="6" t="s">
        <v>261</v>
      </c>
      <c r="H44" s="8" t="s">
        <v>42</v>
      </c>
    </row>
    <row r="45" customFormat="false" ht="135.8" hidden="false" customHeight="false" outlineLevel="0" collapsed="false">
      <c r="A45" s="11"/>
      <c r="B45" s="5" t="s">
        <v>262</v>
      </c>
      <c r="C45" s="6" t="s">
        <v>263</v>
      </c>
      <c r="D45" s="6" t="s">
        <v>264</v>
      </c>
      <c r="E45" s="6" t="s">
        <v>265</v>
      </c>
      <c r="F45" s="6" t="s">
        <v>266</v>
      </c>
      <c r="G45" s="6" t="s">
        <v>267</v>
      </c>
      <c r="H45" s="8" t="s">
        <v>42</v>
      </c>
    </row>
    <row r="46" customFormat="false" ht="91" hidden="false" customHeight="false" outlineLevel="0" collapsed="false">
      <c r="A46" s="11"/>
      <c r="B46" s="5" t="s">
        <v>268</v>
      </c>
      <c r="C46" s="6" t="s">
        <v>269</v>
      </c>
      <c r="D46" s="6" t="s">
        <v>270</v>
      </c>
      <c r="E46" s="6" t="s">
        <v>271</v>
      </c>
      <c r="F46" s="6" t="s">
        <v>272</v>
      </c>
      <c r="G46" s="6" t="s">
        <v>273</v>
      </c>
      <c r="H46" s="7" t="s">
        <v>17</v>
      </c>
    </row>
    <row r="47" customFormat="false" ht="35.05" hidden="false" customHeight="false" outlineLevel="0" collapsed="false">
      <c r="A47" s="11"/>
      <c r="B47" s="5" t="s">
        <v>274</v>
      </c>
      <c r="C47" s="6" t="s">
        <v>275</v>
      </c>
      <c r="D47" s="6" t="s">
        <v>276</v>
      </c>
      <c r="E47" s="6" t="s">
        <v>277</v>
      </c>
      <c r="F47" s="6" t="s">
        <v>278</v>
      </c>
      <c r="G47" s="6" t="s">
        <v>279</v>
      </c>
      <c r="H47" s="8" t="s">
        <v>42</v>
      </c>
    </row>
    <row r="48" customFormat="false" ht="91" hidden="false" customHeight="false" outlineLevel="0" collapsed="false">
      <c r="A48" s="11"/>
      <c r="B48" s="5" t="s">
        <v>280</v>
      </c>
      <c r="C48" s="6" t="s">
        <v>281</v>
      </c>
      <c r="D48" s="6" t="s">
        <v>282</v>
      </c>
      <c r="E48" s="6" t="s">
        <v>283</v>
      </c>
      <c r="F48" s="6" t="s">
        <v>284</v>
      </c>
      <c r="G48" s="6" t="s">
        <v>285</v>
      </c>
      <c r="H48" s="8" t="s">
        <v>42</v>
      </c>
    </row>
    <row r="49" customFormat="false" ht="46.25" hidden="false" customHeight="false" outlineLevel="0" collapsed="false">
      <c r="A49" s="11"/>
      <c r="B49" s="5" t="s">
        <v>286</v>
      </c>
      <c r="C49" s="6" t="s">
        <v>287</v>
      </c>
      <c r="D49" s="6" t="s">
        <v>288</v>
      </c>
      <c r="E49" s="6" t="s">
        <v>289</v>
      </c>
      <c r="F49" s="6" t="s">
        <v>290</v>
      </c>
      <c r="G49" s="6" t="s">
        <v>291</v>
      </c>
      <c r="H49" s="8" t="s">
        <v>42</v>
      </c>
    </row>
    <row r="50" customFormat="false" ht="79.85" hidden="false" customHeight="false" outlineLevel="0" collapsed="false">
      <c r="A50" s="11"/>
      <c r="B50" s="5" t="s">
        <v>292</v>
      </c>
      <c r="C50" s="6" t="s">
        <v>293</v>
      </c>
      <c r="D50" s="6" t="s">
        <v>294</v>
      </c>
      <c r="E50" s="6" t="s">
        <v>295</v>
      </c>
      <c r="F50" s="6" t="s">
        <v>296</v>
      </c>
      <c r="G50" s="6" t="s">
        <v>297</v>
      </c>
      <c r="H50" s="8" t="s">
        <v>42</v>
      </c>
    </row>
    <row r="51" customFormat="false" ht="79.85" hidden="false" customHeight="false" outlineLevel="0" collapsed="false">
      <c r="A51" s="11"/>
      <c r="B51" s="5" t="s">
        <v>298</v>
      </c>
      <c r="C51" s="6" t="s">
        <v>299</v>
      </c>
      <c r="D51" s="6" t="s">
        <v>300</v>
      </c>
      <c r="E51" s="6" t="s">
        <v>301</v>
      </c>
      <c r="F51" s="6" t="s">
        <v>302</v>
      </c>
      <c r="G51" s="6" t="s">
        <v>303</v>
      </c>
      <c r="H51" s="7" t="s">
        <v>17</v>
      </c>
    </row>
    <row r="52" customFormat="false" ht="68.65" hidden="false" customHeight="false" outlineLevel="0" collapsed="false">
      <c r="A52" s="11"/>
      <c r="B52" s="5" t="s">
        <v>304</v>
      </c>
      <c r="C52" s="6" t="s">
        <v>305</v>
      </c>
      <c r="D52" s="6" t="s">
        <v>306</v>
      </c>
      <c r="E52" s="6" t="s">
        <v>307</v>
      </c>
      <c r="F52" s="6" t="s">
        <v>308</v>
      </c>
      <c r="G52" s="6" t="s">
        <v>309</v>
      </c>
      <c r="H52" s="8" t="s">
        <v>42</v>
      </c>
    </row>
    <row r="53" customFormat="false" ht="15" hidden="false" customHeight="false" outlineLevel="0" collapsed="false">
      <c r="A53" s="12" t="s">
        <v>310</v>
      </c>
      <c r="B53" s="13" t="n">
        <f aca="false">COUNTA(B4:B52)</f>
        <v>49</v>
      </c>
      <c r="C53" s="13" t="s">
        <v>311</v>
      </c>
      <c r="D53" s="13" t="n">
        <f aca="false">COUNTIF(H4:H52,"High")</f>
        <v>25</v>
      </c>
      <c r="E53" s="13" t="s">
        <v>312</v>
      </c>
      <c r="F53" s="13" t="n">
        <f aca="false">COUNTIF(H4:H52,"Medium")</f>
        <v>23</v>
      </c>
      <c r="G53" s="13" t="s">
        <v>313</v>
      </c>
      <c r="H53" s="13" t="n">
        <f aca="false">COUNTIF(H4:H52,"Low")</f>
        <v>1</v>
      </c>
    </row>
  </sheetData>
  <mergeCells count="5">
    <mergeCell ref="A1:H1"/>
    <mergeCell ref="A2:H2"/>
    <mergeCell ref="A4:A21"/>
    <mergeCell ref="A22:A34"/>
    <mergeCell ref="A35:A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8"/>
    <col collapsed="false" customWidth="true" hidden="false" outlineLevel="0" max="8" min="8" style="0" width="36"/>
  </cols>
  <sheetData>
    <row r="1" customFormat="false" ht="15.75" hidden="false" customHeight="true" outlineLevel="0" collapsed="false">
      <c r="A1" s="1" t="s">
        <v>314</v>
      </c>
      <c r="B1" s="1"/>
      <c r="C1" s="1"/>
      <c r="D1" s="1"/>
      <c r="E1" s="1"/>
      <c r="F1" s="1"/>
      <c r="G1" s="1"/>
      <c r="H1" s="1"/>
    </row>
    <row r="2" customFormat="false" ht="23.25" hidden="false" customHeight="true" outlineLevel="0" collapsed="false">
      <c r="A2" s="2" t="s">
        <v>315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 t="s">
        <v>316</v>
      </c>
      <c r="C3" s="3" t="s">
        <v>317</v>
      </c>
      <c r="D3" s="3" t="s">
        <v>318</v>
      </c>
      <c r="E3" s="3" t="s">
        <v>319</v>
      </c>
      <c r="F3" s="3" t="s">
        <v>320</v>
      </c>
      <c r="G3" s="3" t="s">
        <v>321</v>
      </c>
      <c r="H3" s="3" t="s">
        <v>322</v>
      </c>
    </row>
    <row r="4" customFormat="false" ht="23.25" hidden="false" customHeight="true" outlineLevel="0" collapsed="false">
      <c r="A4" s="4" t="s">
        <v>323</v>
      </c>
      <c r="B4" s="6" t="s">
        <v>324</v>
      </c>
      <c r="C4" s="6" t="s">
        <v>325</v>
      </c>
      <c r="D4" s="6" t="s">
        <v>326</v>
      </c>
      <c r="E4" s="6" t="s">
        <v>327</v>
      </c>
      <c r="F4" s="6" t="s">
        <v>328</v>
      </c>
      <c r="G4" s="5" t="s">
        <v>329</v>
      </c>
      <c r="H4" s="6" t="s">
        <v>330</v>
      </c>
    </row>
    <row r="5" customFormat="false" ht="23.25" hidden="false" customHeight="true" outlineLevel="0" collapsed="false">
      <c r="A5" s="4"/>
      <c r="B5" s="6" t="s">
        <v>324</v>
      </c>
      <c r="C5" s="6" t="s">
        <v>331</v>
      </c>
      <c r="D5" s="6" t="s">
        <v>332</v>
      </c>
      <c r="E5" s="6" t="s">
        <v>333</v>
      </c>
      <c r="F5" s="6" t="s">
        <v>334</v>
      </c>
      <c r="G5" s="5" t="s">
        <v>329</v>
      </c>
      <c r="H5" s="6" t="s">
        <v>335</v>
      </c>
    </row>
    <row r="6" customFormat="false" ht="23.25" hidden="false" customHeight="true" outlineLevel="0" collapsed="false">
      <c r="A6" s="4"/>
      <c r="B6" s="6" t="s">
        <v>324</v>
      </c>
      <c r="C6" s="6" t="s">
        <v>336</v>
      </c>
      <c r="D6" s="6" t="s">
        <v>337</v>
      </c>
      <c r="E6" s="6" t="s">
        <v>333</v>
      </c>
      <c r="F6" s="6" t="s">
        <v>338</v>
      </c>
      <c r="G6" s="5" t="s">
        <v>329</v>
      </c>
      <c r="H6" s="6" t="s">
        <v>339</v>
      </c>
    </row>
    <row r="7" customFormat="false" ht="23.25" hidden="false" customHeight="true" outlineLevel="0" collapsed="false">
      <c r="A7" s="4"/>
      <c r="B7" s="6" t="s">
        <v>324</v>
      </c>
      <c r="C7" s="6" t="s">
        <v>340</v>
      </c>
      <c r="D7" s="6" t="s">
        <v>341</v>
      </c>
      <c r="E7" s="6" t="s">
        <v>333</v>
      </c>
      <c r="F7" s="6" t="s">
        <v>342</v>
      </c>
      <c r="G7" s="5" t="s">
        <v>329</v>
      </c>
      <c r="H7" s="6" t="s">
        <v>343</v>
      </c>
    </row>
    <row r="8" customFormat="false" ht="23.25" hidden="false" customHeight="true" outlineLevel="0" collapsed="false">
      <c r="A8" s="4"/>
      <c r="B8" s="6" t="s">
        <v>324</v>
      </c>
      <c r="C8" s="6" t="s">
        <v>344</v>
      </c>
      <c r="D8" s="6" t="s">
        <v>345</v>
      </c>
      <c r="E8" s="6" t="s">
        <v>333</v>
      </c>
      <c r="F8" s="6" t="s">
        <v>346</v>
      </c>
      <c r="G8" s="5" t="s">
        <v>347</v>
      </c>
      <c r="H8" s="6" t="s">
        <v>348</v>
      </c>
    </row>
    <row r="9" customFormat="false" ht="23.25" hidden="false" customHeight="true" outlineLevel="0" collapsed="false">
      <c r="A9" s="4"/>
      <c r="B9" s="6" t="s">
        <v>349</v>
      </c>
      <c r="C9" s="6" t="s">
        <v>350</v>
      </c>
      <c r="D9" s="6" t="s">
        <v>351</v>
      </c>
      <c r="E9" s="6" t="s">
        <v>333</v>
      </c>
      <c r="F9" s="6" t="s">
        <v>352</v>
      </c>
      <c r="G9" s="5" t="s">
        <v>329</v>
      </c>
      <c r="H9" s="6" t="s">
        <v>353</v>
      </c>
    </row>
    <row r="10" customFormat="false" ht="23.25" hidden="false" customHeight="true" outlineLevel="0" collapsed="false">
      <c r="A10" s="4"/>
      <c r="B10" s="6" t="s">
        <v>349</v>
      </c>
      <c r="C10" s="6" t="s">
        <v>354</v>
      </c>
      <c r="D10" s="6" t="s">
        <v>355</v>
      </c>
      <c r="E10" s="6" t="s">
        <v>333</v>
      </c>
      <c r="F10" s="6" t="s">
        <v>356</v>
      </c>
      <c r="G10" s="5" t="s">
        <v>329</v>
      </c>
      <c r="H10" s="6" t="s">
        <v>357</v>
      </c>
    </row>
    <row r="11" customFormat="false" ht="23.25" hidden="false" customHeight="true" outlineLevel="0" collapsed="false">
      <c r="A11" s="4"/>
      <c r="B11" s="6" t="s">
        <v>349</v>
      </c>
      <c r="C11" s="6" t="s">
        <v>358</v>
      </c>
      <c r="D11" s="6" t="s">
        <v>359</v>
      </c>
      <c r="E11" s="6" t="s">
        <v>333</v>
      </c>
      <c r="F11" s="6" t="s">
        <v>360</v>
      </c>
      <c r="G11" s="5" t="s">
        <v>329</v>
      </c>
      <c r="H11" s="6" t="s">
        <v>361</v>
      </c>
    </row>
    <row r="12" customFormat="false" ht="15" hidden="false" customHeight="true" outlineLevel="0" collapsed="false">
      <c r="A12" s="4"/>
      <c r="B12" s="6" t="s">
        <v>362</v>
      </c>
      <c r="C12" s="6" t="s">
        <v>363</v>
      </c>
      <c r="D12" s="6" t="s">
        <v>364</v>
      </c>
      <c r="E12" s="6" t="s">
        <v>333</v>
      </c>
      <c r="F12" s="6" t="s">
        <v>365</v>
      </c>
      <c r="G12" s="5" t="s">
        <v>329</v>
      </c>
      <c r="H12" s="6" t="s">
        <v>366</v>
      </c>
    </row>
    <row r="13" customFormat="false" ht="15" hidden="false" customHeight="true" outlineLevel="0" collapsed="false">
      <c r="A13" s="4"/>
      <c r="B13" s="6" t="s">
        <v>362</v>
      </c>
      <c r="C13" s="6" t="s">
        <v>367</v>
      </c>
      <c r="D13" s="6" t="s">
        <v>368</v>
      </c>
      <c r="E13" s="6" t="s">
        <v>333</v>
      </c>
      <c r="F13" s="6" t="s">
        <v>369</v>
      </c>
      <c r="G13" s="5" t="s">
        <v>329</v>
      </c>
      <c r="H13" s="6" t="s">
        <v>370</v>
      </c>
    </row>
    <row r="14" customFormat="false" ht="23.25" hidden="false" customHeight="true" outlineLevel="0" collapsed="false">
      <c r="A14" s="4"/>
      <c r="B14" s="6" t="s">
        <v>362</v>
      </c>
      <c r="C14" s="6" t="s">
        <v>371</v>
      </c>
      <c r="D14" s="6" t="s">
        <v>372</v>
      </c>
      <c r="E14" s="6" t="s">
        <v>373</v>
      </c>
      <c r="F14" s="6" t="s">
        <v>374</v>
      </c>
      <c r="G14" s="5" t="s">
        <v>329</v>
      </c>
      <c r="H14" s="6" t="s">
        <v>375</v>
      </c>
    </row>
    <row r="15" customFormat="false" ht="15" hidden="false" customHeight="true" outlineLevel="0" collapsed="false">
      <c r="A15" s="4"/>
      <c r="B15" s="6" t="s">
        <v>362</v>
      </c>
      <c r="C15" s="6" t="s">
        <v>376</v>
      </c>
      <c r="D15" s="6" t="s">
        <v>377</v>
      </c>
      <c r="E15" s="6" t="s">
        <v>333</v>
      </c>
      <c r="F15" s="6" t="s">
        <v>378</v>
      </c>
      <c r="G15" s="5" t="s">
        <v>329</v>
      </c>
      <c r="H15" s="6" t="s">
        <v>379</v>
      </c>
    </row>
    <row r="16" customFormat="false" ht="45.75" hidden="false" customHeight="true" outlineLevel="0" collapsed="false">
      <c r="A16" s="4" t="s">
        <v>380</v>
      </c>
      <c r="B16" s="6" t="s">
        <v>381</v>
      </c>
      <c r="C16" s="6" t="s">
        <v>382</v>
      </c>
      <c r="D16" s="6" t="s">
        <v>383</v>
      </c>
      <c r="E16" s="6" t="s">
        <v>333</v>
      </c>
      <c r="F16" s="6" t="s">
        <v>384</v>
      </c>
      <c r="G16" s="5" t="s">
        <v>329</v>
      </c>
      <c r="H16" s="6" t="s">
        <v>385</v>
      </c>
    </row>
    <row r="17" customFormat="false" ht="68.25" hidden="false" customHeight="true" outlineLevel="0" collapsed="false">
      <c r="A17" s="4"/>
      <c r="B17" s="6" t="s">
        <v>381</v>
      </c>
      <c r="C17" s="6" t="s">
        <v>386</v>
      </c>
      <c r="D17" s="6" t="s">
        <v>387</v>
      </c>
      <c r="E17" s="6" t="s">
        <v>333</v>
      </c>
      <c r="F17" s="6" t="s">
        <v>388</v>
      </c>
      <c r="G17" s="5" t="s">
        <v>329</v>
      </c>
      <c r="H17" s="6" t="s">
        <v>389</v>
      </c>
    </row>
    <row r="18" customFormat="false" ht="23.25" hidden="false" customHeight="true" outlineLevel="0" collapsed="false">
      <c r="A18" s="4"/>
      <c r="B18" s="6" t="s">
        <v>390</v>
      </c>
      <c r="C18" s="6" t="s">
        <v>391</v>
      </c>
      <c r="D18" s="6" t="s">
        <v>392</v>
      </c>
      <c r="E18" s="6" t="s">
        <v>333</v>
      </c>
      <c r="F18" s="6" t="s">
        <v>393</v>
      </c>
      <c r="G18" s="5" t="s">
        <v>329</v>
      </c>
      <c r="H18" s="6" t="s">
        <v>394</v>
      </c>
    </row>
    <row r="19" customFormat="false" ht="34.5" hidden="false" customHeight="true" outlineLevel="0" collapsed="false">
      <c r="A19" s="4"/>
      <c r="B19" s="6" t="s">
        <v>390</v>
      </c>
      <c r="C19" s="6" t="s">
        <v>395</v>
      </c>
      <c r="D19" s="6" t="s">
        <v>396</v>
      </c>
      <c r="E19" s="6" t="s">
        <v>397</v>
      </c>
      <c r="F19" s="6" t="s">
        <v>398</v>
      </c>
      <c r="G19" s="5" t="s">
        <v>329</v>
      </c>
      <c r="H19" s="6" t="s">
        <v>399</v>
      </c>
    </row>
    <row r="20" customFormat="false" ht="23.25" hidden="false" customHeight="true" outlineLevel="0" collapsed="false">
      <c r="A20" s="4"/>
      <c r="B20" s="6" t="s">
        <v>390</v>
      </c>
      <c r="C20" s="6" t="s">
        <v>400</v>
      </c>
      <c r="D20" s="6" t="s">
        <v>401</v>
      </c>
      <c r="E20" s="6" t="s">
        <v>397</v>
      </c>
      <c r="F20" s="6" t="s">
        <v>402</v>
      </c>
      <c r="G20" s="5" t="s">
        <v>329</v>
      </c>
      <c r="H20" s="6" t="s">
        <v>403</v>
      </c>
    </row>
    <row r="21" customFormat="false" ht="23.25" hidden="false" customHeight="true" outlineLevel="0" collapsed="false">
      <c r="A21" s="4"/>
      <c r="B21" s="6" t="s">
        <v>390</v>
      </c>
      <c r="C21" s="6" t="s">
        <v>404</v>
      </c>
      <c r="D21" s="6" t="s">
        <v>405</v>
      </c>
      <c r="E21" s="6" t="s">
        <v>333</v>
      </c>
      <c r="F21" s="6" t="s">
        <v>406</v>
      </c>
      <c r="G21" s="5" t="s">
        <v>329</v>
      </c>
      <c r="H21" s="6" t="s">
        <v>407</v>
      </c>
    </row>
    <row r="22" customFormat="false" ht="23.25" hidden="false" customHeight="true" outlineLevel="0" collapsed="false">
      <c r="A22" s="4"/>
      <c r="B22" s="6" t="s">
        <v>390</v>
      </c>
      <c r="C22" s="6" t="s">
        <v>408</v>
      </c>
      <c r="D22" s="6" t="s">
        <v>409</v>
      </c>
      <c r="E22" s="6" t="s">
        <v>397</v>
      </c>
      <c r="F22" s="6" t="s">
        <v>410</v>
      </c>
      <c r="G22" s="5" t="s">
        <v>329</v>
      </c>
      <c r="H22" s="6" t="s">
        <v>411</v>
      </c>
    </row>
    <row r="23" customFormat="false" ht="45.75" hidden="false" customHeight="true" outlineLevel="0" collapsed="false">
      <c r="A23" s="4"/>
      <c r="B23" s="6" t="s">
        <v>412</v>
      </c>
      <c r="C23" s="6" t="s">
        <v>413</v>
      </c>
      <c r="D23" s="6" t="s">
        <v>414</v>
      </c>
      <c r="E23" s="6" t="s">
        <v>415</v>
      </c>
      <c r="F23" s="6" t="s">
        <v>416</v>
      </c>
      <c r="G23" s="5" t="s">
        <v>329</v>
      </c>
      <c r="H23" s="6" t="s">
        <v>417</v>
      </c>
    </row>
    <row r="24" customFormat="false" ht="23.25" hidden="false" customHeight="true" outlineLevel="0" collapsed="false">
      <c r="A24" s="4"/>
      <c r="B24" s="6" t="s">
        <v>418</v>
      </c>
      <c r="C24" s="6" t="s">
        <v>419</v>
      </c>
      <c r="D24" s="6" t="s">
        <v>420</v>
      </c>
      <c r="E24" s="6" t="s">
        <v>421</v>
      </c>
      <c r="F24" s="6" t="s">
        <v>422</v>
      </c>
      <c r="G24" s="5" t="s">
        <v>329</v>
      </c>
      <c r="H24" s="6" t="s">
        <v>423</v>
      </c>
    </row>
    <row r="25" customFormat="false" ht="23.25" hidden="false" customHeight="true" outlineLevel="0" collapsed="false">
      <c r="A25" s="4"/>
      <c r="B25" s="6" t="s">
        <v>418</v>
      </c>
      <c r="C25" s="6" t="s">
        <v>424</v>
      </c>
      <c r="D25" s="6" t="s">
        <v>425</v>
      </c>
      <c r="E25" s="6" t="s">
        <v>421</v>
      </c>
      <c r="F25" s="6" t="s">
        <v>422</v>
      </c>
      <c r="G25" s="5" t="s">
        <v>329</v>
      </c>
      <c r="H25" s="6" t="s">
        <v>426</v>
      </c>
    </row>
    <row r="26" customFormat="false" ht="23.25" hidden="false" customHeight="true" outlineLevel="0" collapsed="false">
      <c r="A26" s="4"/>
      <c r="B26" s="6" t="s">
        <v>418</v>
      </c>
      <c r="C26" s="6" t="s">
        <v>427</v>
      </c>
      <c r="D26" s="6" t="s">
        <v>428</v>
      </c>
      <c r="E26" s="6" t="s">
        <v>421</v>
      </c>
      <c r="F26" s="6" t="s">
        <v>429</v>
      </c>
      <c r="G26" s="5" t="s">
        <v>329</v>
      </c>
      <c r="H26" s="6" t="s">
        <v>430</v>
      </c>
    </row>
    <row r="27" customFormat="false" ht="23.25" hidden="false" customHeight="true" outlineLevel="0" collapsed="false">
      <c r="A27" s="4"/>
      <c r="B27" s="6" t="s">
        <v>418</v>
      </c>
      <c r="C27" s="6" t="s">
        <v>431</v>
      </c>
      <c r="D27" s="6" t="s">
        <v>432</v>
      </c>
      <c r="E27" s="6" t="s">
        <v>333</v>
      </c>
      <c r="F27" s="6" t="s">
        <v>433</v>
      </c>
      <c r="G27" s="5" t="s">
        <v>434</v>
      </c>
      <c r="H27" s="6" t="s">
        <v>435</v>
      </c>
    </row>
    <row r="28" customFormat="false" ht="23.25" hidden="false" customHeight="true" outlineLevel="0" collapsed="false">
      <c r="A28" s="4"/>
      <c r="B28" s="6" t="s">
        <v>418</v>
      </c>
      <c r="C28" s="6" t="s">
        <v>436</v>
      </c>
      <c r="D28" s="6" t="s">
        <v>437</v>
      </c>
      <c r="E28" s="6" t="s">
        <v>333</v>
      </c>
      <c r="F28" s="6" t="s">
        <v>438</v>
      </c>
      <c r="G28" s="5" t="s">
        <v>329</v>
      </c>
      <c r="H28" s="6" t="s">
        <v>439</v>
      </c>
    </row>
    <row r="29" customFormat="false" ht="15" hidden="false" customHeight="true" outlineLevel="0" collapsed="false">
      <c r="A29" s="4"/>
      <c r="B29" s="6" t="s">
        <v>412</v>
      </c>
      <c r="C29" s="6" t="s">
        <v>440</v>
      </c>
      <c r="D29" s="6" t="s">
        <v>441</v>
      </c>
      <c r="E29" s="6" t="s">
        <v>333</v>
      </c>
      <c r="F29" s="6" t="s">
        <v>442</v>
      </c>
      <c r="G29" s="5" t="s">
        <v>329</v>
      </c>
      <c r="H29" s="6" t="s">
        <v>443</v>
      </c>
    </row>
    <row r="30" customFormat="false" ht="23.25" hidden="false" customHeight="true" outlineLevel="0" collapsed="false">
      <c r="A30" s="4" t="s">
        <v>444</v>
      </c>
      <c r="B30" s="6" t="s">
        <v>445</v>
      </c>
      <c r="C30" s="6" t="s">
        <v>446</v>
      </c>
      <c r="D30" s="6" t="s">
        <v>447</v>
      </c>
      <c r="E30" s="6" t="s">
        <v>448</v>
      </c>
      <c r="F30" s="6" t="s">
        <v>449</v>
      </c>
      <c r="G30" s="5" t="s">
        <v>329</v>
      </c>
      <c r="H30" s="6" t="s">
        <v>450</v>
      </c>
    </row>
    <row r="31" customFormat="false" ht="23.25" hidden="false" customHeight="true" outlineLevel="0" collapsed="false">
      <c r="A31" s="4"/>
      <c r="B31" s="6" t="s">
        <v>445</v>
      </c>
      <c r="C31" s="6" t="s">
        <v>451</v>
      </c>
      <c r="D31" s="6" t="s">
        <v>452</v>
      </c>
      <c r="E31" s="6" t="s">
        <v>333</v>
      </c>
      <c r="F31" s="6" t="s">
        <v>453</v>
      </c>
      <c r="G31" s="5" t="s">
        <v>329</v>
      </c>
      <c r="H31" s="6" t="s">
        <v>454</v>
      </c>
    </row>
    <row r="32" customFormat="false" ht="15" hidden="false" customHeight="true" outlineLevel="0" collapsed="false">
      <c r="A32" s="4"/>
      <c r="B32" s="6" t="s">
        <v>445</v>
      </c>
      <c r="C32" s="6" t="s">
        <v>455</v>
      </c>
      <c r="D32" s="6" t="s">
        <v>456</v>
      </c>
      <c r="E32" s="6" t="s">
        <v>333</v>
      </c>
      <c r="F32" s="6" t="s">
        <v>457</v>
      </c>
      <c r="G32" s="5" t="s">
        <v>329</v>
      </c>
      <c r="H32" s="6" t="s">
        <v>458</v>
      </c>
    </row>
    <row r="33" customFormat="false" ht="23.25" hidden="false" customHeight="true" outlineLevel="0" collapsed="false">
      <c r="A33" s="4"/>
      <c r="B33" s="6" t="s">
        <v>445</v>
      </c>
      <c r="C33" s="6" t="s">
        <v>459</v>
      </c>
      <c r="D33" s="6" t="s">
        <v>460</v>
      </c>
      <c r="E33" s="6" t="s">
        <v>333</v>
      </c>
      <c r="F33" s="6" t="s">
        <v>461</v>
      </c>
      <c r="G33" s="5" t="s">
        <v>329</v>
      </c>
      <c r="H33" s="6" t="s">
        <v>462</v>
      </c>
    </row>
    <row r="34" customFormat="false" ht="23.25" hidden="false" customHeight="true" outlineLevel="0" collapsed="false">
      <c r="A34" s="4" t="s">
        <v>463</v>
      </c>
      <c r="B34" s="6" t="s">
        <v>464</v>
      </c>
      <c r="C34" s="6" t="s">
        <v>465</v>
      </c>
      <c r="D34" s="6" t="s">
        <v>466</v>
      </c>
      <c r="E34" s="6" t="s">
        <v>333</v>
      </c>
      <c r="F34" s="6" t="s">
        <v>457</v>
      </c>
      <c r="G34" s="5" t="s">
        <v>329</v>
      </c>
      <c r="H34" s="6" t="s">
        <v>467</v>
      </c>
    </row>
    <row r="35" customFormat="false" ht="23.25" hidden="false" customHeight="true" outlineLevel="0" collapsed="false">
      <c r="A35" s="4"/>
      <c r="B35" s="6" t="s">
        <v>464</v>
      </c>
      <c r="C35" s="6" t="s">
        <v>468</v>
      </c>
      <c r="D35" s="6" t="s">
        <v>469</v>
      </c>
      <c r="E35" s="6" t="s">
        <v>333</v>
      </c>
      <c r="F35" s="6" t="s">
        <v>470</v>
      </c>
      <c r="G35" s="5" t="s">
        <v>329</v>
      </c>
      <c r="H35" s="6" t="s">
        <v>268</v>
      </c>
    </row>
    <row r="36" customFormat="false" ht="15" hidden="false" customHeight="true" outlineLevel="0" collapsed="false">
      <c r="A36" s="4"/>
      <c r="B36" s="6" t="s">
        <v>464</v>
      </c>
      <c r="C36" s="6" t="s">
        <v>471</v>
      </c>
      <c r="D36" s="6" t="s">
        <v>472</v>
      </c>
      <c r="E36" s="6" t="s">
        <v>333</v>
      </c>
      <c r="F36" s="6" t="s">
        <v>473</v>
      </c>
      <c r="G36" s="5" t="s">
        <v>329</v>
      </c>
      <c r="H36" s="6" t="s">
        <v>474</v>
      </c>
    </row>
    <row r="37" customFormat="false" ht="23.25" hidden="false" customHeight="true" outlineLevel="0" collapsed="false">
      <c r="A37" s="4"/>
      <c r="B37" s="6" t="s">
        <v>464</v>
      </c>
      <c r="C37" s="6" t="s">
        <v>475</v>
      </c>
      <c r="D37" s="6" t="s">
        <v>476</v>
      </c>
      <c r="E37" s="6" t="s">
        <v>333</v>
      </c>
      <c r="F37" s="6" t="s">
        <v>477</v>
      </c>
      <c r="G37" s="5" t="s">
        <v>329</v>
      </c>
      <c r="H37" s="6" t="s">
        <v>478</v>
      </c>
    </row>
    <row r="38" customFormat="false" ht="23.25" hidden="false" customHeight="true" outlineLevel="0" collapsed="false">
      <c r="A38" s="4" t="s">
        <v>479</v>
      </c>
      <c r="B38" s="6" t="s">
        <v>480</v>
      </c>
      <c r="C38" s="6" t="s">
        <v>481</v>
      </c>
      <c r="D38" s="6" t="s">
        <v>482</v>
      </c>
      <c r="E38" s="6" t="s">
        <v>483</v>
      </c>
      <c r="F38" s="6" t="s">
        <v>484</v>
      </c>
      <c r="G38" s="5" t="s">
        <v>329</v>
      </c>
      <c r="H38" s="6" t="s">
        <v>485</v>
      </c>
    </row>
    <row r="39" customFormat="false" ht="23.25" hidden="false" customHeight="true" outlineLevel="0" collapsed="false">
      <c r="A39" s="4"/>
      <c r="B39" s="6" t="s">
        <v>480</v>
      </c>
      <c r="C39" s="6" t="s">
        <v>486</v>
      </c>
      <c r="D39" s="6" t="s">
        <v>487</v>
      </c>
      <c r="E39" s="6" t="s">
        <v>488</v>
      </c>
      <c r="F39" s="6" t="s">
        <v>489</v>
      </c>
      <c r="G39" s="5" t="s">
        <v>329</v>
      </c>
      <c r="H39" s="6" t="s">
        <v>490</v>
      </c>
    </row>
    <row r="40" customFormat="false" ht="23.25" hidden="false" customHeight="true" outlineLevel="0" collapsed="false">
      <c r="A40" s="4"/>
      <c r="B40" s="6" t="s">
        <v>480</v>
      </c>
      <c r="C40" s="6" t="s">
        <v>491</v>
      </c>
      <c r="D40" s="6" t="s">
        <v>492</v>
      </c>
      <c r="E40" s="6" t="s">
        <v>483</v>
      </c>
      <c r="F40" s="6" t="s">
        <v>493</v>
      </c>
      <c r="G40" s="5" t="s">
        <v>494</v>
      </c>
      <c r="H40" s="6" t="s">
        <v>495</v>
      </c>
    </row>
    <row r="41" customFormat="false" ht="15" hidden="false" customHeight="true" outlineLevel="0" collapsed="false">
      <c r="A41" s="4"/>
      <c r="B41" s="6" t="s">
        <v>480</v>
      </c>
      <c r="C41" s="6" t="s">
        <v>496</v>
      </c>
      <c r="D41" s="6" t="s">
        <v>497</v>
      </c>
      <c r="E41" s="6" t="s">
        <v>333</v>
      </c>
      <c r="F41" s="6" t="s">
        <v>498</v>
      </c>
      <c r="G41" s="5" t="s">
        <v>329</v>
      </c>
      <c r="H41" s="6" t="s">
        <v>499</v>
      </c>
    </row>
  </sheetData>
  <mergeCells count="7">
    <mergeCell ref="A1:H1"/>
    <mergeCell ref="A2:H2"/>
    <mergeCell ref="A4:A15"/>
    <mergeCell ref="A16:A29"/>
    <mergeCell ref="A30:A33"/>
    <mergeCell ref="A34:A37"/>
    <mergeCell ref="A38:A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54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15.75" hidden="false" customHeight="true" outlineLevel="0" collapsed="false">
      <c r="A1" s="1" t="s">
        <v>500</v>
      </c>
      <c r="B1" s="1"/>
      <c r="C1" s="1"/>
      <c r="D1" s="1"/>
      <c r="E1" s="1"/>
      <c r="F1" s="1"/>
      <c r="G1" s="1"/>
    </row>
    <row r="2" customFormat="false" ht="23.25" hidden="false" customHeight="true" outlineLevel="0" collapsed="false">
      <c r="A2" s="2" t="s">
        <v>501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502</v>
      </c>
      <c r="D3" s="3" t="s">
        <v>503</v>
      </c>
      <c r="E3" s="3" t="s">
        <v>504</v>
      </c>
      <c r="F3" s="3" t="s">
        <v>505</v>
      </c>
      <c r="G3" s="3" t="s">
        <v>506</v>
      </c>
    </row>
    <row r="4" customFormat="false" ht="15" hidden="false" customHeight="true" outlineLevel="0" collapsed="false">
      <c r="A4" s="4" t="s">
        <v>323</v>
      </c>
      <c r="B4" s="5" t="s">
        <v>507</v>
      </c>
      <c r="C4" s="6" t="s">
        <v>508</v>
      </c>
      <c r="D4" s="6" t="s">
        <v>509</v>
      </c>
      <c r="E4" s="6" t="s">
        <v>510</v>
      </c>
      <c r="F4" s="6" t="s">
        <v>511</v>
      </c>
      <c r="G4" s="7" t="s">
        <v>512</v>
      </c>
    </row>
    <row r="5" customFormat="false" ht="23.25" hidden="false" customHeight="true" outlineLevel="0" collapsed="false">
      <c r="A5" s="4"/>
      <c r="B5" s="5" t="s">
        <v>513</v>
      </c>
      <c r="C5" s="6" t="s">
        <v>514</v>
      </c>
      <c r="D5" s="6" t="s">
        <v>515</v>
      </c>
      <c r="E5" s="6" t="s">
        <v>516</v>
      </c>
      <c r="F5" s="6" t="s">
        <v>511</v>
      </c>
      <c r="G5" s="7" t="s">
        <v>512</v>
      </c>
    </row>
    <row r="6" customFormat="false" ht="23.25" hidden="false" customHeight="true" outlineLevel="0" collapsed="false">
      <c r="A6" s="4"/>
      <c r="B6" s="5" t="s">
        <v>517</v>
      </c>
      <c r="C6" s="6" t="s">
        <v>518</v>
      </c>
      <c r="D6" s="6" t="s">
        <v>519</v>
      </c>
      <c r="E6" s="6" t="s">
        <v>520</v>
      </c>
      <c r="F6" s="6" t="s">
        <v>511</v>
      </c>
      <c r="G6" s="7" t="s">
        <v>512</v>
      </c>
    </row>
    <row r="7" customFormat="false" ht="23.25" hidden="false" customHeight="true" outlineLevel="0" collapsed="false">
      <c r="A7" s="4"/>
      <c r="B7" s="5" t="s">
        <v>521</v>
      </c>
      <c r="C7" s="6" t="s">
        <v>522</v>
      </c>
      <c r="D7" s="6" t="s">
        <v>523</v>
      </c>
      <c r="E7" s="6" t="s">
        <v>524</v>
      </c>
      <c r="F7" s="6" t="s">
        <v>511</v>
      </c>
      <c r="G7" s="7" t="s">
        <v>512</v>
      </c>
    </row>
    <row r="8" customFormat="false" ht="34.5" hidden="false" customHeight="true" outlineLevel="0" collapsed="false">
      <c r="A8" s="4"/>
      <c r="B8" s="5" t="s">
        <v>525</v>
      </c>
      <c r="C8" s="6" t="s">
        <v>526</v>
      </c>
      <c r="D8" s="6" t="s">
        <v>527</v>
      </c>
      <c r="E8" s="6" t="s">
        <v>528</v>
      </c>
      <c r="F8" s="6" t="s">
        <v>511</v>
      </c>
      <c r="G8" s="7" t="s">
        <v>512</v>
      </c>
    </row>
    <row r="9" customFormat="false" ht="23.25" hidden="false" customHeight="true" outlineLevel="0" collapsed="false">
      <c r="A9" s="4"/>
      <c r="B9" s="5" t="s">
        <v>529</v>
      </c>
      <c r="C9" s="6" t="s">
        <v>530</v>
      </c>
      <c r="D9" s="6" t="s">
        <v>531</v>
      </c>
      <c r="E9" s="6" t="s">
        <v>532</v>
      </c>
      <c r="F9" s="6" t="s">
        <v>511</v>
      </c>
      <c r="G9" s="7" t="s">
        <v>512</v>
      </c>
    </row>
    <row r="10" customFormat="false" ht="34.5" hidden="false" customHeight="true" outlineLevel="0" collapsed="false">
      <c r="A10" s="4" t="s">
        <v>533</v>
      </c>
      <c r="B10" s="5" t="s">
        <v>534</v>
      </c>
      <c r="C10" s="6" t="s">
        <v>535</v>
      </c>
      <c r="D10" s="6" t="s">
        <v>536</v>
      </c>
      <c r="E10" s="6" t="s">
        <v>537</v>
      </c>
      <c r="F10" s="6" t="s">
        <v>538</v>
      </c>
      <c r="G10" s="7" t="s">
        <v>512</v>
      </c>
    </row>
    <row r="11" customFormat="false" ht="34.5" hidden="false" customHeight="true" outlineLevel="0" collapsed="false">
      <c r="A11" s="4"/>
      <c r="B11" s="5" t="s">
        <v>539</v>
      </c>
      <c r="C11" s="6" t="s">
        <v>540</v>
      </c>
      <c r="D11" s="6" t="s">
        <v>541</v>
      </c>
      <c r="E11" s="6" t="s">
        <v>542</v>
      </c>
      <c r="F11" s="6" t="s">
        <v>543</v>
      </c>
      <c r="G11" s="7" t="s">
        <v>512</v>
      </c>
    </row>
    <row r="12" customFormat="false" ht="23.25" hidden="false" customHeight="true" outlineLevel="0" collapsed="false">
      <c r="A12" s="4"/>
      <c r="B12" s="5" t="s">
        <v>544</v>
      </c>
      <c r="C12" s="6" t="s">
        <v>545</v>
      </c>
      <c r="D12" s="6" t="s">
        <v>546</v>
      </c>
      <c r="E12" s="6" t="s">
        <v>547</v>
      </c>
      <c r="F12" s="6" t="s">
        <v>548</v>
      </c>
      <c r="G12" s="7" t="s">
        <v>512</v>
      </c>
    </row>
    <row r="13" customFormat="false" ht="23.25" hidden="false" customHeight="true" outlineLevel="0" collapsed="false">
      <c r="A13" s="4"/>
      <c r="B13" s="5" t="s">
        <v>549</v>
      </c>
      <c r="C13" s="6" t="s">
        <v>550</v>
      </c>
      <c r="D13" s="6" t="s">
        <v>551</v>
      </c>
      <c r="E13" s="6" t="s">
        <v>552</v>
      </c>
      <c r="F13" s="6" t="s">
        <v>538</v>
      </c>
      <c r="G13" s="7" t="s">
        <v>512</v>
      </c>
    </row>
    <row r="14" customFormat="false" ht="15" hidden="false" customHeight="true" outlineLevel="0" collapsed="false">
      <c r="A14" s="4" t="s">
        <v>444</v>
      </c>
      <c r="B14" s="5" t="s">
        <v>553</v>
      </c>
      <c r="C14" s="6" t="s">
        <v>554</v>
      </c>
      <c r="D14" s="6" t="s">
        <v>555</v>
      </c>
      <c r="E14" s="6" t="s">
        <v>556</v>
      </c>
      <c r="F14" s="6" t="s">
        <v>557</v>
      </c>
      <c r="G14" s="7" t="s">
        <v>512</v>
      </c>
    </row>
    <row r="15" customFormat="false" ht="34.5" hidden="false" customHeight="true" outlineLevel="0" collapsed="false">
      <c r="A15" s="4" t="s">
        <v>463</v>
      </c>
      <c r="B15" s="5" t="s">
        <v>558</v>
      </c>
      <c r="C15" s="6" t="s">
        <v>559</v>
      </c>
      <c r="D15" s="6" t="s">
        <v>560</v>
      </c>
      <c r="E15" s="6" t="s">
        <v>561</v>
      </c>
      <c r="F15" s="6" t="s">
        <v>562</v>
      </c>
      <c r="G15" s="7" t="s">
        <v>512</v>
      </c>
    </row>
    <row r="16" customFormat="false" ht="34.5" hidden="false" customHeight="true" outlineLevel="0" collapsed="false">
      <c r="A16" s="4"/>
      <c r="B16" s="5" t="s">
        <v>563</v>
      </c>
      <c r="C16" s="6" t="s">
        <v>564</v>
      </c>
      <c r="D16" s="6" t="s">
        <v>565</v>
      </c>
      <c r="E16" s="6" t="s">
        <v>566</v>
      </c>
      <c r="F16" s="6" t="s">
        <v>567</v>
      </c>
      <c r="G16" s="7" t="s">
        <v>512</v>
      </c>
    </row>
    <row r="17" customFormat="false" ht="34.5" hidden="false" customHeight="true" outlineLevel="0" collapsed="false">
      <c r="A17" s="4" t="s">
        <v>568</v>
      </c>
      <c r="B17" s="5" t="s">
        <v>569</v>
      </c>
      <c r="C17" s="6" t="s">
        <v>570</v>
      </c>
      <c r="D17" s="6" t="s">
        <v>571</v>
      </c>
      <c r="E17" s="6" t="s">
        <v>572</v>
      </c>
      <c r="F17" s="6" t="s">
        <v>543</v>
      </c>
      <c r="G17" s="8" t="s">
        <v>573</v>
      </c>
    </row>
    <row r="18" customFormat="false" ht="15" hidden="false" customHeight="true" outlineLevel="0" collapsed="false">
      <c r="A18" s="4"/>
      <c r="B18" s="5" t="s">
        <v>574</v>
      </c>
      <c r="C18" s="6" t="s">
        <v>575</v>
      </c>
      <c r="D18" s="6" t="s">
        <v>576</v>
      </c>
      <c r="E18" s="6" t="s">
        <v>577</v>
      </c>
      <c r="F18" s="6" t="s">
        <v>543</v>
      </c>
      <c r="G18" s="7" t="s">
        <v>512</v>
      </c>
    </row>
    <row r="19" customFormat="false" ht="34.5" hidden="false" customHeight="true" outlineLevel="0" collapsed="false">
      <c r="A19" s="4"/>
      <c r="B19" s="5" t="s">
        <v>578</v>
      </c>
      <c r="C19" s="6" t="s">
        <v>579</v>
      </c>
      <c r="D19" s="6" t="s">
        <v>580</v>
      </c>
      <c r="E19" s="6" t="s">
        <v>581</v>
      </c>
      <c r="F19" s="6" t="s">
        <v>543</v>
      </c>
      <c r="G19" s="7" t="s">
        <v>512</v>
      </c>
    </row>
    <row r="20" customFormat="false" ht="23.25" hidden="false" customHeight="true" outlineLevel="0" collapsed="false">
      <c r="A20" s="4"/>
      <c r="B20" s="5" t="s">
        <v>582</v>
      </c>
      <c r="C20" s="6" t="s">
        <v>583</v>
      </c>
      <c r="D20" s="6" t="s">
        <v>584</v>
      </c>
      <c r="E20" s="6" t="s">
        <v>585</v>
      </c>
      <c r="F20" s="6" t="s">
        <v>543</v>
      </c>
      <c r="G20" s="7" t="s">
        <v>512</v>
      </c>
    </row>
    <row r="21" customFormat="false" ht="23.25" hidden="false" customHeight="true" outlineLevel="0" collapsed="false">
      <c r="A21" s="4"/>
      <c r="B21" s="5" t="s">
        <v>586</v>
      </c>
      <c r="C21" s="6" t="s">
        <v>587</v>
      </c>
      <c r="D21" s="6" t="s">
        <v>588</v>
      </c>
      <c r="E21" s="6" t="s">
        <v>589</v>
      </c>
      <c r="F21" s="6" t="s">
        <v>543</v>
      </c>
      <c r="G21" s="7" t="s">
        <v>512</v>
      </c>
    </row>
    <row r="22" customFormat="false" ht="57" hidden="false" customHeight="true" outlineLevel="0" collapsed="false">
      <c r="A22" s="4"/>
      <c r="B22" s="5" t="s">
        <v>590</v>
      </c>
      <c r="C22" s="6" t="s">
        <v>591</v>
      </c>
      <c r="D22" s="6" t="s">
        <v>592</v>
      </c>
      <c r="E22" s="6" t="s">
        <v>593</v>
      </c>
      <c r="F22" s="6" t="s">
        <v>543</v>
      </c>
      <c r="G22" s="7" t="s">
        <v>512</v>
      </c>
    </row>
    <row r="23" customFormat="false" ht="57" hidden="false" customHeight="true" outlineLevel="0" collapsed="false">
      <c r="A23" s="4"/>
      <c r="B23" s="5" t="s">
        <v>594</v>
      </c>
      <c r="C23" s="6" t="s">
        <v>595</v>
      </c>
      <c r="D23" s="6" t="s">
        <v>596</v>
      </c>
      <c r="E23" s="6" t="s">
        <v>597</v>
      </c>
      <c r="F23" s="6" t="s">
        <v>543</v>
      </c>
      <c r="G23" s="7" t="s">
        <v>512</v>
      </c>
    </row>
    <row r="24" customFormat="false" ht="57" hidden="false" customHeight="true" outlineLevel="0" collapsed="false">
      <c r="A24" s="4"/>
      <c r="B24" s="5" t="s">
        <v>598</v>
      </c>
      <c r="C24" s="6" t="s">
        <v>599</v>
      </c>
      <c r="D24" s="6" t="s">
        <v>600</v>
      </c>
      <c r="E24" s="6" t="s">
        <v>601</v>
      </c>
      <c r="F24" s="6" t="s">
        <v>543</v>
      </c>
      <c r="G24" s="7" t="s">
        <v>512</v>
      </c>
    </row>
    <row r="25" customFormat="false" ht="34.5" hidden="false" customHeight="true" outlineLevel="0" collapsed="false">
      <c r="A25" s="4" t="s">
        <v>323</v>
      </c>
      <c r="B25" s="5" t="s">
        <v>602</v>
      </c>
      <c r="C25" s="6" t="s">
        <v>603</v>
      </c>
      <c r="D25" s="6" t="s">
        <v>604</v>
      </c>
      <c r="E25" s="6" t="s">
        <v>605</v>
      </c>
      <c r="F25" s="6" t="s">
        <v>511</v>
      </c>
      <c r="G25" s="7" t="s">
        <v>512</v>
      </c>
    </row>
    <row r="26" customFormat="false" ht="34.5" hidden="false" customHeight="true" outlineLevel="0" collapsed="false">
      <c r="A26" s="4" t="s">
        <v>606</v>
      </c>
      <c r="B26" s="5" t="s">
        <v>607</v>
      </c>
      <c r="C26" s="6" t="s">
        <v>608</v>
      </c>
      <c r="D26" s="6" t="s">
        <v>609</v>
      </c>
      <c r="E26" s="6" t="s">
        <v>610</v>
      </c>
      <c r="F26" s="6" t="s">
        <v>538</v>
      </c>
      <c r="G26" s="7" t="s">
        <v>512</v>
      </c>
    </row>
    <row r="27" customFormat="false" ht="23.25" hidden="false" customHeight="true" outlineLevel="0" collapsed="false">
      <c r="A27" s="4"/>
      <c r="B27" s="5" t="s">
        <v>611</v>
      </c>
      <c r="C27" s="6" t="s">
        <v>612</v>
      </c>
      <c r="D27" s="6" t="s">
        <v>613</v>
      </c>
      <c r="E27" s="6" t="s">
        <v>614</v>
      </c>
      <c r="F27" s="6" t="s">
        <v>538</v>
      </c>
      <c r="G27" s="7" t="s">
        <v>512</v>
      </c>
    </row>
    <row r="28" customFormat="false" ht="45.75" hidden="false" customHeight="true" outlineLevel="0" collapsed="false">
      <c r="A28" s="4" t="s">
        <v>323</v>
      </c>
      <c r="B28" s="5" t="s">
        <v>615</v>
      </c>
      <c r="C28" s="6" t="s">
        <v>616</v>
      </c>
      <c r="D28" s="6" t="s">
        <v>617</v>
      </c>
      <c r="E28" s="6" t="s">
        <v>618</v>
      </c>
      <c r="F28" s="6" t="s">
        <v>511</v>
      </c>
      <c r="G28" s="7" t="s">
        <v>512</v>
      </c>
    </row>
  </sheetData>
  <mergeCells count="7">
    <mergeCell ref="A1:G1"/>
    <mergeCell ref="A2:G2"/>
    <mergeCell ref="A4:A9"/>
    <mergeCell ref="A10:A13"/>
    <mergeCell ref="A15:A16"/>
    <mergeCell ref="A17:A24"/>
    <mergeCell ref="A26:A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2"/>
  </cols>
  <sheetData>
    <row r="1" customFormat="false" ht="15" hidden="false" customHeight="true" outlineLevel="0" collapsed="false">
      <c r="A1" s="14" t="s">
        <v>619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2" t="s">
        <v>620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3</v>
      </c>
      <c r="B3" s="3" t="s">
        <v>5</v>
      </c>
      <c r="C3" s="3" t="s">
        <v>621</v>
      </c>
      <c r="D3" s="3" t="s">
        <v>622</v>
      </c>
      <c r="E3" s="3" t="s">
        <v>623</v>
      </c>
      <c r="F3" s="3" t="s">
        <v>624</v>
      </c>
    </row>
    <row r="4" customFormat="false" ht="23.25" hidden="false" customHeight="true" outlineLevel="0" collapsed="false">
      <c r="A4" s="5" t="s">
        <v>625</v>
      </c>
      <c r="B4" s="6" t="s">
        <v>626</v>
      </c>
      <c r="C4" s="6" t="s">
        <v>627</v>
      </c>
      <c r="D4" s="6" t="s">
        <v>628</v>
      </c>
      <c r="E4" s="6" t="s">
        <v>629</v>
      </c>
      <c r="F4" s="6" t="s">
        <v>630</v>
      </c>
    </row>
    <row r="5" customFormat="false" ht="23.25" hidden="false" customHeight="true" outlineLevel="0" collapsed="false">
      <c r="A5" s="5" t="s">
        <v>631</v>
      </c>
      <c r="B5" s="6" t="s">
        <v>632</v>
      </c>
      <c r="C5" s="6" t="s">
        <v>633</v>
      </c>
      <c r="D5" s="6" t="s">
        <v>634</v>
      </c>
      <c r="E5" s="6" t="s">
        <v>635</v>
      </c>
      <c r="F5" s="6" t="s">
        <v>636</v>
      </c>
    </row>
    <row r="6" customFormat="false" ht="34.5" hidden="false" customHeight="true" outlineLevel="0" collapsed="false">
      <c r="A6" s="5" t="s">
        <v>637</v>
      </c>
      <c r="B6" s="6" t="s">
        <v>638</v>
      </c>
      <c r="C6" s="6" t="s">
        <v>639</v>
      </c>
      <c r="D6" s="6" t="s">
        <v>640</v>
      </c>
      <c r="E6" s="6" t="s">
        <v>641</v>
      </c>
      <c r="F6" s="6" t="s">
        <v>642</v>
      </c>
    </row>
    <row r="7" customFormat="false" ht="23.25" hidden="false" customHeight="true" outlineLevel="0" collapsed="false">
      <c r="A7" s="5" t="s">
        <v>643</v>
      </c>
      <c r="B7" s="6" t="s">
        <v>644</v>
      </c>
      <c r="C7" s="6" t="s">
        <v>645</v>
      </c>
      <c r="D7" s="6" t="s">
        <v>646</v>
      </c>
      <c r="E7" s="6" t="s">
        <v>647</v>
      </c>
      <c r="F7" s="6" t="s">
        <v>648</v>
      </c>
    </row>
    <row r="8" customFormat="false" ht="34.5" hidden="false" customHeight="true" outlineLevel="0" collapsed="false">
      <c r="A8" s="5" t="s">
        <v>649</v>
      </c>
      <c r="B8" s="6" t="s">
        <v>650</v>
      </c>
      <c r="C8" s="6" t="s">
        <v>651</v>
      </c>
      <c r="D8" s="6" t="s">
        <v>652</v>
      </c>
      <c r="E8" s="6" t="s">
        <v>653</v>
      </c>
      <c r="F8" s="6" t="s">
        <v>654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2026-06-17T01:55:55Z</dcterms:created>
  <dc:creator>openpyxl</dc:creator>
  <dc:description/>
  <dc:language>en-US</dc:language>
  <cp:lastModifiedBy/>
  <dcterms:modified xsi:type="dcterms:W3CDTF">2026-06-17T01:55:55Z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